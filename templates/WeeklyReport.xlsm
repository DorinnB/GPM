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1DF2B26-BF8B-4C81-BD74-E3F30060B06A}" xr6:coauthVersionLast="45" xr6:coauthVersionMax="45" xr10:uidLastSave="{00000000-0000-0000-0000-000000000000}"/>
  <bookViews>
    <workbookView xWindow="30015" yWindow="-3795" windowWidth="24750" windowHeight="16290" xr2:uid="{00000000-000D-0000-FFFF-FFFF00000000}"/>
  </bookViews>
  <sheets>
    <sheet name="WeeklyReport" sheetId="6" r:id="rId1"/>
    <sheet name="FrameAvailability" sheetId="7" r:id="rId2"/>
  </sheets>
  <definedNames>
    <definedName name="_xlnm.Print_Area" localSheetId="1">FrameAvailability!$A$1:$P$26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K52" i="7" l="1"/>
  <c r="CJ52" i="7"/>
  <c r="CI52" i="7"/>
  <c r="CH52" i="7"/>
  <c r="CG52" i="7"/>
  <c r="CF52" i="7"/>
  <c r="CE52" i="7"/>
  <c r="CD52" i="7"/>
  <c r="CC52" i="7"/>
  <c r="CB52" i="7"/>
  <c r="CA52" i="7"/>
  <c r="BZ52" i="7"/>
  <c r="BY52" i="7"/>
  <c r="BX52" i="7"/>
  <c r="BW52" i="7"/>
  <c r="BV52" i="7"/>
  <c r="BU52" i="7"/>
  <c r="BT52" i="7"/>
  <c r="BS52" i="7"/>
  <c r="BR52" i="7"/>
  <c r="BQ52" i="7"/>
  <c r="BP52" i="7"/>
  <c r="BO52" i="7"/>
  <c r="BN52" i="7"/>
  <c r="BM52" i="7"/>
  <c r="BL52" i="7"/>
  <c r="BK52" i="7"/>
  <c r="BJ52" i="7"/>
  <c r="BI52" i="7"/>
  <c r="BH52" i="7"/>
  <c r="BG52" i="7"/>
  <c r="BF52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CK51" i="7"/>
  <c r="CJ51" i="7"/>
  <c r="CI51" i="7"/>
  <c r="CH51" i="7"/>
  <c r="CG51" i="7"/>
  <c r="CF51" i="7"/>
  <c r="CE51" i="7"/>
  <c r="CD51" i="7"/>
  <c r="CC51" i="7"/>
  <c r="CB51" i="7"/>
  <c r="CA51" i="7"/>
  <c r="BZ51" i="7"/>
  <c r="BY51" i="7"/>
  <c r="BX51" i="7"/>
  <c r="BW51" i="7"/>
  <c r="BV51" i="7"/>
  <c r="BU51" i="7"/>
  <c r="BT51" i="7"/>
  <c r="BS51" i="7"/>
  <c r="BR51" i="7"/>
  <c r="BQ51" i="7"/>
  <c r="BP51" i="7"/>
  <c r="BO51" i="7"/>
  <c r="BN51" i="7"/>
  <c r="BM51" i="7"/>
  <c r="BL51" i="7"/>
  <c r="BK51" i="7"/>
  <c r="BJ51" i="7"/>
  <c r="BI51" i="7"/>
  <c r="BH51" i="7"/>
  <c r="BG51" i="7"/>
  <c r="BF51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CK50" i="7"/>
  <c r="CJ50" i="7"/>
  <c r="CI50" i="7"/>
  <c r="CH50" i="7"/>
  <c r="CG50" i="7"/>
  <c r="CF50" i="7"/>
  <c r="CE50" i="7"/>
  <c r="CD50" i="7"/>
  <c r="CC50" i="7"/>
  <c r="CB50" i="7"/>
  <c r="CA50" i="7"/>
  <c r="BZ50" i="7"/>
  <c r="BY50" i="7"/>
  <c r="BX50" i="7"/>
  <c r="BW50" i="7"/>
  <c r="BV50" i="7"/>
  <c r="BU50" i="7"/>
  <c r="BT50" i="7"/>
  <c r="BS50" i="7"/>
  <c r="BR50" i="7"/>
  <c r="BQ50" i="7"/>
  <c r="BP50" i="7"/>
  <c r="BO50" i="7"/>
  <c r="BN50" i="7"/>
  <c r="BM50" i="7"/>
  <c r="BL50" i="7"/>
  <c r="BK50" i="7"/>
  <c r="BJ50" i="7"/>
  <c r="BI50" i="7"/>
  <c r="BH50" i="7"/>
  <c r="BG50" i="7"/>
  <c r="BF50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CK49" i="7"/>
  <c r="CJ49" i="7"/>
  <c r="CI49" i="7"/>
  <c r="CH49" i="7"/>
  <c r="CG49" i="7"/>
  <c r="CF49" i="7"/>
  <c r="CE49" i="7"/>
  <c r="CD49" i="7"/>
  <c r="CC49" i="7"/>
  <c r="CB49" i="7"/>
  <c r="CA49" i="7"/>
  <c r="BZ49" i="7"/>
  <c r="BY49" i="7"/>
  <c r="BX49" i="7"/>
  <c r="BW49" i="7"/>
  <c r="BV49" i="7"/>
  <c r="BU49" i="7"/>
  <c r="BT49" i="7"/>
  <c r="BS49" i="7"/>
  <c r="BR49" i="7"/>
  <c r="BQ49" i="7"/>
  <c r="BP49" i="7"/>
  <c r="BO49" i="7"/>
  <c r="BN49" i="7"/>
  <c r="BM49" i="7"/>
  <c r="BL49" i="7"/>
  <c r="BK49" i="7"/>
  <c r="BJ49" i="7"/>
  <c r="BI49" i="7"/>
  <c r="BH49" i="7"/>
  <c r="BG49" i="7"/>
  <c r="BF49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CK48" i="7"/>
  <c r="CJ48" i="7"/>
  <c r="CI48" i="7"/>
  <c r="CH48" i="7"/>
  <c r="CG48" i="7"/>
  <c r="CF48" i="7"/>
  <c r="CE48" i="7"/>
  <c r="CD48" i="7"/>
  <c r="CC48" i="7"/>
  <c r="CB48" i="7"/>
  <c r="CA48" i="7"/>
  <c r="BZ48" i="7"/>
  <c r="BY48" i="7"/>
  <c r="BX48" i="7"/>
  <c r="BW48" i="7"/>
  <c r="BV48" i="7"/>
  <c r="BU48" i="7"/>
  <c r="BT48" i="7"/>
  <c r="BS48" i="7"/>
  <c r="BR48" i="7"/>
  <c r="BQ48" i="7"/>
  <c r="BP48" i="7"/>
  <c r="BO48" i="7"/>
  <c r="BN48" i="7"/>
  <c r="BM48" i="7"/>
  <c r="BL48" i="7"/>
  <c r="BK48" i="7"/>
  <c r="BJ48" i="7"/>
  <c r="BI48" i="7"/>
  <c r="BH48" i="7"/>
  <c r="BG48" i="7"/>
  <c r="BF48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CK47" i="7"/>
  <c r="CJ47" i="7"/>
  <c r="CI47" i="7"/>
  <c r="CH47" i="7"/>
  <c r="CG47" i="7"/>
  <c r="CF47" i="7"/>
  <c r="CE47" i="7"/>
  <c r="CD47" i="7"/>
  <c r="CC47" i="7"/>
  <c r="CB47" i="7"/>
  <c r="CA47" i="7"/>
  <c r="BZ47" i="7"/>
  <c r="BY47" i="7"/>
  <c r="BX47" i="7"/>
  <c r="BW47" i="7"/>
  <c r="BV47" i="7"/>
  <c r="BU47" i="7"/>
  <c r="BT47" i="7"/>
  <c r="BS47" i="7"/>
  <c r="BR47" i="7"/>
  <c r="BQ47" i="7"/>
  <c r="BP47" i="7"/>
  <c r="BO47" i="7"/>
  <c r="BN47" i="7"/>
  <c r="BM47" i="7"/>
  <c r="BL47" i="7"/>
  <c r="BK47" i="7"/>
  <c r="BJ47" i="7"/>
  <c r="BI47" i="7"/>
  <c r="BH47" i="7"/>
  <c r="BG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CK46" i="7"/>
  <c r="CJ46" i="7"/>
  <c r="CI46" i="7"/>
  <c r="CH46" i="7"/>
  <c r="CG46" i="7"/>
  <c r="CF46" i="7"/>
  <c r="CE46" i="7"/>
  <c r="CD46" i="7"/>
  <c r="CC46" i="7"/>
  <c r="CB46" i="7"/>
  <c r="CA46" i="7"/>
  <c r="BZ46" i="7"/>
  <c r="BY46" i="7"/>
  <c r="BX46" i="7"/>
  <c r="BW46" i="7"/>
  <c r="BV46" i="7"/>
  <c r="BU46" i="7"/>
  <c r="BT46" i="7"/>
  <c r="BS46" i="7"/>
  <c r="BR46" i="7"/>
  <c r="BQ46" i="7"/>
  <c r="BP46" i="7"/>
  <c r="BO46" i="7"/>
  <c r="BN46" i="7"/>
  <c r="BM46" i="7"/>
  <c r="BL46" i="7"/>
  <c r="BK46" i="7"/>
  <c r="BJ46" i="7"/>
  <c r="BI46" i="7"/>
  <c r="BH46" i="7"/>
  <c r="BG46" i="7"/>
  <c r="BF46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52" i="7"/>
  <c r="D51" i="7"/>
  <c r="D50" i="7"/>
  <c r="D49" i="7"/>
  <c r="D48" i="7"/>
  <c r="D47" i="7"/>
  <c r="C37" i="7" l="1"/>
  <c r="C38" i="7"/>
  <c r="C39" i="7"/>
  <c r="C40" i="7"/>
  <c r="C41" i="7"/>
  <c r="C42" i="7"/>
  <c r="D45" i="7" l="1"/>
  <c r="E36" i="7" l="1"/>
  <c r="H36" i="7" s="1"/>
  <c r="K36" i="7" s="1"/>
  <c r="N36" i="7" s="1"/>
  <c r="D46" i="7"/>
  <c r="H42" i="7"/>
  <c r="H40" i="7"/>
  <c r="G37" i="7"/>
  <c r="E42" i="7"/>
  <c r="K42" i="7"/>
  <c r="D43" i="7"/>
  <c r="C43" i="7"/>
  <c r="J37" i="7" l="1"/>
  <c r="K41" i="7"/>
  <c r="N42" i="7"/>
  <c r="M38" i="7"/>
  <c r="N41" i="7"/>
  <c r="M37" i="7"/>
  <c r="M39" i="7"/>
  <c r="Q36" i="7"/>
  <c r="N40" i="7"/>
  <c r="G38" i="7"/>
  <c r="K40" i="7"/>
  <c r="G39" i="7"/>
  <c r="J39" i="7"/>
  <c r="J38" i="7"/>
  <c r="H41" i="7"/>
  <c r="E40" i="7"/>
  <c r="E41" i="7"/>
  <c r="D38" i="7"/>
  <c r="D39" i="7"/>
  <c r="D37" i="7"/>
  <c r="Q41" i="7" l="1"/>
  <c r="T36" i="7"/>
  <c r="Q42" i="7"/>
  <c r="P38" i="7"/>
  <c r="P37" i="7"/>
  <c r="Q40" i="7"/>
  <c r="P39" i="7"/>
  <c r="T41" i="7" l="1"/>
  <c r="S37" i="7"/>
  <c r="W36" i="7"/>
  <c r="S39" i="7"/>
  <c r="T42" i="7"/>
  <c r="S38" i="7"/>
  <c r="T40" i="7"/>
  <c r="Z36" i="7" l="1"/>
  <c r="V38" i="7"/>
  <c r="V37" i="7"/>
  <c r="W40" i="7"/>
  <c r="W41" i="7"/>
  <c r="V39" i="7"/>
  <c r="W42" i="7"/>
  <c r="Z40" i="7" l="1"/>
  <c r="Y39" i="7"/>
  <c r="Y38" i="7"/>
  <c r="Y37" i="7"/>
  <c r="AC36" i="7"/>
  <c r="Z42" i="7"/>
  <c r="Z41" i="7"/>
  <c r="AB39" i="7" l="1"/>
  <c r="AF36" i="7"/>
  <c r="AC40" i="7"/>
  <c r="AC41" i="7"/>
  <c r="AB37" i="7"/>
  <c r="AC42" i="7"/>
  <c r="AB38" i="7"/>
  <c r="AE39" i="7" l="1"/>
  <c r="AF42" i="7"/>
  <c r="AF41" i="7"/>
  <c r="AE37" i="7"/>
  <c r="AI36" i="7"/>
  <c r="AE38" i="7"/>
  <c r="AF40" i="7"/>
  <c r="AI42" i="7" l="1"/>
  <c r="AH38" i="7"/>
  <c r="AI40" i="7"/>
  <c r="AH39" i="7"/>
  <c r="AI41" i="7"/>
  <c r="AH37" i="7"/>
  <c r="AL36" i="7"/>
  <c r="AL42" i="7" l="1"/>
  <c r="AK38" i="7"/>
  <c r="AK37" i="7"/>
  <c r="AK39" i="7"/>
  <c r="AL41" i="7"/>
  <c r="AL40" i="7"/>
</calcChain>
</file>

<file path=xl/sharedStrings.xml><?xml version="1.0" encoding="utf-8"?>
<sst xmlns="http://schemas.openxmlformats.org/spreadsheetml/2006/main" count="92" uniqueCount="23">
  <si>
    <t>Split</t>
  </si>
  <si>
    <t>Phase</t>
  </si>
  <si>
    <t>Status</t>
  </si>
  <si>
    <t>DyT</t>
  </si>
  <si>
    <t>Comment</t>
  </si>
  <si>
    <t>Metcut Job</t>
  </si>
  <si>
    <t>Contact</t>
  </si>
  <si>
    <t>Qtty planned</t>
  </si>
  <si>
    <t>Qtty Done and Running</t>
  </si>
  <si>
    <t>PO / Instructions</t>
  </si>
  <si>
    <t>Material</t>
  </si>
  <si>
    <t>Load Control</t>
  </si>
  <si>
    <t>Strain Control</t>
  </si>
  <si>
    <t>Frame</t>
  </si>
  <si>
    <t>Load cell</t>
  </si>
  <si>
    <t>Test Type</t>
  </si>
  <si>
    <t>SEMAINE</t>
  </si>
  <si>
    <t>Str</t>
  </si>
  <si>
    <t>Loa</t>
  </si>
  <si>
    <t>Ambiant</t>
  </si>
  <si>
    <t>Four</t>
  </si>
  <si>
    <t>Induction</t>
  </si>
  <si>
    <t>Invoice /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</si>
</sst>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0"/>
      <name val="MS Sans Serif"/>
      <family val="2"/>
    </font>
    <font>
      <sz val="11"/>
      <color theme="1" tint="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A5A5A5"/>
      <name val="Calibri"/>
      <family val="2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5B8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7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5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5" fillId="0" borderId="2" xfId="0" applyFont="1" applyBorder="1" applyAlignment="1">
      <alignment horizontal="center" vertical="top" wrapText="1"/>
    </xf>
    <xf numFmtId="14" fontId="5" fillId="0" borderId="2" xfId="0" applyNumberFormat="1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6" fillId="2" borderId="2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2" xfId="0" applyFont="1" applyBorder="1" applyAlignment="1">
      <alignment horizontal="center" vertical="top" wrapText="1"/>
    </xf>
    <xf numFmtId="14" fontId="1" fillId="0" borderId="2" xfId="0" applyNumberFormat="1" applyFont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 wrapText="1"/>
    </xf>
    <xf numFmtId="0" fontId="7" fillId="0" borderId="0" xfId="0" applyFont="1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 applyBorder="1"/>
    <xf numFmtId="0" fontId="9" fillId="0" borderId="0" xfId="0" applyFont="1"/>
    <xf numFmtId="0" fontId="7" fillId="0" borderId="0" xfId="0" applyFont="1" applyAlignment="1">
      <alignment horizontal="right"/>
    </xf>
    <xf numFmtId="9" fontId="7" fillId="0" borderId="0" xfId="2" applyFont="1"/>
    <xf numFmtId="0" fontId="7" fillId="0" borderId="0" xfId="0" applyFont="1" applyAlignment="1">
      <alignment horizontal="center"/>
    </xf>
    <xf numFmtId="22" fontId="7" fillId="0" borderId="0" xfId="0" applyNumberFormat="1" applyFont="1"/>
    <xf numFmtId="0" fontId="0" fillId="0" borderId="0" xfId="0" applyFont="1"/>
    <xf numFmtId="0" fontId="8" fillId="0" borderId="3" xfId="0" applyFont="1" applyBorder="1" applyAlignment="1">
      <alignment horizontal="center" vertical="center"/>
    </xf>
    <xf numFmtId="0" fontId="8" fillId="0" borderId="3" xfId="0" applyFont="1" applyBorder="1"/>
    <xf numFmtId="0" fontId="7" fillId="0" borderId="0" xfId="0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Border="1"/>
    <xf numFmtId="0" fontId="0" fillId="0" borderId="0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1" fillId="0" borderId="0" xfId="0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7" fillId="0" borderId="0" xfId="0" applyFont="1" applyBorder="1" applyAlignment="1">
      <alignment vertical="center"/>
    </xf>
    <xf numFmtId="0" fontId="0" fillId="0" borderId="0" xfId="0" applyFont="1" applyBorder="1"/>
    <xf numFmtId="14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12" fillId="0" borderId="4" xfId="0" applyFont="1" applyFill="1" applyBorder="1" applyAlignment="1">
      <alignment vertical="center"/>
    </xf>
    <xf numFmtId="0" fontId="0" fillId="0" borderId="0" xfId="0" applyFill="1"/>
    <xf numFmtId="164" fontId="0" fillId="0" borderId="4" xfId="0" applyNumberFormat="1" applyFill="1" applyBorder="1" applyAlignment="1">
      <alignment vertic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14" fontId="2" fillId="3" borderId="2" xfId="0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13" fillId="0" borderId="0" xfId="0" applyFont="1" applyFill="1" applyBorder="1" applyAlignment="1">
      <alignment horizontal="center"/>
    </xf>
    <xf numFmtId="49" fontId="5" fillId="0" borderId="2" xfId="0" applyNumberFormat="1" applyFont="1" applyBorder="1" applyAlignment="1">
      <alignment horizontal="center" vertical="top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Pourcentage" xfId="2" builtinId="5"/>
  </cellStyles>
  <dxfs count="0"/>
  <tableStyles count="0" defaultTableStyle="TableStyleMedium2" defaultPivotStyle="PivotStyleLight16"/>
  <colors>
    <mruColors>
      <color rgb="FF005B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L4"/>
  <sheetViews>
    <sheetView tabSelected="1" workbookViewId="0">
      <selection activeCell="C4" sqref="C4"/>
    </sheetView>
  </sheetViews>
  <sheetFormatPr baseColWidth="10" defaultColWidth="11.42578125" defaultRowHeight="15" x14ac:dyDescent="0.25"/>
  <cols>
    <col min="1" max="1" width="19.7109375" customWidth="1"/>
    <col min="2" max="2" width="19.7109375" hidden="1" customWidth="1"/>
    <col min="3" max="3" width="22" customWidth="1"/>
    <col min="4" max="4" width="10" customWidth="1"/>
    <col min="5" max="5" width="4.140625" bestFit="1" customWidth="1"/>
    <col min="6" max="6" width="19.42578125" customWidth="1"/>
    <col min="7" max="8" width="8.85546875" style="1" customWidth="1"/>
    <col min="9" max="9" width="20.140625" customWidth="1"/>
    <col min="10" max="10" width="12.28515625" style="2" bestFit="1" customWidth="1"/>
    <col min="11" max="11" width="50.85546875" customWidth="1"/>
    <col min="12" max="12" width="14" customWidth="1"/>
  </cols>
  <sheetData>
    <row r="2" spans="1:12" ht="78.75" x14ac:dyDescent="0.25">
      <c r="A2" s="42" t="s">
        <v>9</v>
      </c>
      <c r="B2" s="42" t="s">
        <v>22</v>
      </c>
      <c r="C2" s="42" t="s">
        <v>10</v>
      </c>
      <c r="D2" s="43" t="s">
        <v>5</v>
      </c>
      <c r="E2" s="42" t="s">
        <v>0</v>
      </c>
      <c r="F2" s="42" t="s">
        <v>1</v>
      </c>
      <c r="G2" s="43" t="s">
        <v>8</v>
      </c>
      <c r="H2" s="43" t="s">
        <v>7</v>
      </c>
      <c r="I2" s="42" t="s">
        <v>2</v>
      </c>
      <c r="J2" s="44" t="s">
        <v>3</v>
      </c>
      <c r="K2" s="42" t="s">
        <v>4</v>
      </c>
      <c r="L2" s="42" t="s">
        <v>6</v>
      </c>
    </row>
    <row r="3" spans="1:12" ht="15.75" customHeight="1" x14ac:dyDescent="0.25">
      <c r="A3" s="13"/>
      <c r="B3" s="48"/>
      <c r="C3" s="3"/>
      <c r="D3" s="3"/>
      <c r="E3" s="3"/>
      <c r="F3" s="4"/>
      <c r="G3" s="5"/>
      <c r="H3" s="5"/>
      <c r="I3" s="3"/>
      <c r="J3" s="6"/>
      <c r="K3" s="7"/>
      <c r="L3" s="8"/>
    </row>
    <row r="4" spans="1:12" ht="15.75" customHeight="1" x14ac:dyDescent="0.25">
      <c r="A4" s="9"/>
      <c r="B4" s="9"/>
      <c r="C4" s="9"/>
      <c r="D4" s="9"/>
      <c r="E4" s="9"/>
      <c r="F4" s="10"/>
      <c r="G4" s="11"/>
      <c r="H4" s="11"/>
      <c r="I4" s="9"/>
      <c r="J4" s="12"/>
      <c r="K4" s="12"/>
      <c r="L4" s="12"/>
    </row>
  </sheetData>
  <pageMargins left="0.7" right="0.7" top="0.75" bottom="0.75" header="0.3" footer="0.3"/>
  <pageSetup paperSize="9"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0E5F4-7D18-4CE6-B043-B1E7558B44A2}">
  <sheetPr codeName="Feuil2"/>
  <dimension ref="A1:CK82"/>
  <sheetViews>
    <sheetView zoomScaleNormal="100" workbookViewId="0">
      <selection activeCell="C36" sqref="C36:AM42"/>
    </sheetView>
  </sheetViews>
  <sheetFormatPr baseColWidth="10" defaultColWidth="10.7109375" defaultRowHeight="15" x14ac:dyDescent="0.25"/>
  <cols>
    <col min="1" max="1" width="10.7109375" style="14"/>
    <col min="2" max="2" width="14.28515625" style="14" customWidth="1"/>
    <col min="3" max="16" width="11.28515625" style="14" customWidth="1"/>
    <col min="17" max="16384" width="10.7109375" style="14"/>
  </cols>
  <sheetData>
    <row r="1" spans="1:16" ht="15.75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6" ht="15.75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ht="15.75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16" ht="15.75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</row>
    <row r="5" spans="1:16" ht="15.75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15.75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1:16" ht="15.75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</row>
    <row r="8" spans="1:16" ht="15.75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</row>
    <row r="9" spans="1:16" ht="15.75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</row>
    <row r="10" spans="1:16" ht="15.75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</row>
    <row r="11" spans="1:16" ht="15.75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</row>
    <row r="12" spans="1:16" ht="15.75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</row>
    <row r="13" spans="1:16" ht="15.75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</row>
    <row r="14" spans="1:16" ht="15.75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</row>
    <row r="15" spans="1:16" ht="15.75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1:16" ht="15.75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</row>
    <row r="17" spans="1:16" ht="15.75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</row>
    <row r="18" spans="1:16" ht="15.75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</row>
    <row r="19" spans="1:16" ht="15.75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</row>
    <row r="20" spans="1:16" ht="15.75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</row>
    <row r="21" spans="1:16" ht="15.75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</row>
    <row r="22" spans="1:16" ht="15.75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15.75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</row>
    <row r="24" spans="1:16" ht="15.75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</row>
    <row r="25" spans="1:16" ht="15.75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</row>
    <row r="26" spans="1:16" ht="15.75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</row>
    <row r="28" spans="1:16" x14ac:dyDescent="0.25">
      <c r="D28" s="15"/>
      <c r="E28" s="16"/>
      <c r="F28" s="16"/>
      <c r="G28" s="16"/>
      <c r="H28" s="16"/>
      <c r="I28" s="16"/>
      <c r="J28" s="16"/>
      <c r="K28" s="16"/>
      <c r="L28" s="17"/>
    </row>
    <row r="29" spans="1:16" x14ac:dyDescent="0.25">
      <c r="D29" s="18"/>
      <c r="F29" s="19"/>
    </row>
    <row r="30" spans="1:16" x14ac:dyDescent="0.25">
      <c r="D30" s="18"/>
    </row>
    <row r="31" spans="1:16" x14ac:dyDescent="0.25">
      <c r="D31" s="18"/>
    </row>
    <row r="32" spans="1:16" x14ac:dyDescent="0.25">
      <c r="D32" s="18"/>
      <c r="F32" s="20"/>
    </row>
    <row r="33" spans="1:89" x14ac:dyDescent="0.25">
      <c r="D33" s="18"/>
      <c r="F33" s="20"/>
      <c r="G33" s="21"/>
      <c r="H33" s="21"/>
    </row>
    <row r="34" spans="1:89" x14ac:dyDescent="0.25">
      <c r="D34" s="18"/>
      <c r="F34" s="20"/>
    </row>
    <row r="35" spans="1:89" x14ac:dyDescent="0.25">
      <c r="D35" s="23" t="s">
        <v>16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1:89" x14ac:dyDescent="0.25">
      <c r="C36" s="22"/>
      <c r="D36" s="27"/>
      <c r="E36" s="45">
        <f ca="1">WEEKNUM(D45)</f>
        <v>14</v>
      </c>
      <c r="F36" s="45"/>
      <c r="G36" s="27"/>
      <c r="H36" s="45">
        <f ca="1">E36+1</f>
        <v>15</v>
      </c>
      <c r="I36" s="45"/>
      <c r="J36" s="45"/>
      <c r="K36" s="45">
        <f t="shared" ref="K36" ca="1" si="0">H36+1</f>
        <v>16</v>
      </c>
      <c r="L36" s="45"/>
      <c r="M36" s="45"/>
      <c r="N36" s="45">
        <f t="shared" ref="N36" ca="1" si="1">K36+1</f>
        <v>17</v>
      </c>
      <c r="O36" s="45"/>
      <c r="P36" s="45"/>
      <c r="Q36" s="45">
        <f t="shared" ref="Q36" ca="1" si="2">N36+1</f>
        <v>18</v>
      </c>
      <c r="R36" s="45"/>
      <c r="S36" s="45"/>
      <c r="T36" s="45">
        <f t="shared" ref="T36" ca="1" si="3">Q36+1</f>
        <v>19</v>
      </c>
      <c r="U36" s="45"/>
      <c r="V36" s="45"/>
      <c r="W36" s="45">
        <f t="shared" ref="W36" ca="1" si="4">T36+1</f>
        <v>20</v>
      </c>
      <c r="X36" s="45"/>
      <c r="Y36" s="45"/>
      <c r="Z36" s="45">
        <f t="shared" ref="Z36" ca="1" si="5">W36+1</f>
        <v>21</v>
      </c>
      <c r="AA36" s="45"/>
      <c r="AB36" s="45"/>
      <c r="AC36" s="45">
        <f t="shared" ref="AC36" ca="1" si="6">Z36+1</f>
        <v>22</v>
      </c>
      <c r="AD36" s="45"/>
      <c r="AE36" s="45"/>
      <c r="AF36" s="45">
        <f t="shared" ref="AF36" ca="1" si="7">AC36+1</f>
        <v>23</v>
      </c>
      <c r="AG36" s="45"/>
      <c r="AH36" s="45"/>
      <c r="AI36" s="45">
        <f t="shared" ref="AI36" ca="1" si="8">AF36+1</f>
        <v>24</v>
      </c>
      <c r="AJ36" s="45"/>
      <c r="AK36" s="45"/>
      <c r="AL36" s="45">
        <f t="shared" ref="AL36" ca="1" si="9">AI36+1</f>
        <v>25</v>
      </c>
      <c r="AM36" s="45"/>
    </row>
    <row r="37" spans="1:89" x14ac:dyDescent="0.25">
      <c r="A37" s="49" t="s">
        <v>12</v>
      </c>
      <c r="B37" s="46" t="s">
        <v>20</v>
      </c>
      <c r="C37" s="23" t="str">
        <f>B37&amp;" " &amp;A37</f>
        <v>Four Strain Control</v>
      </c>
      <c r="D37" s="41">
        <f ca="1">(SUMPRODUCT(($B$53:$B$82=$B47)*($C$53:$C$82=$C47))*7-SUMIF($D$46:$GL$46,E$36,$D47:$GL47))/7</f>
        <v>2</v>
      </c>
      <c r="E37" s="41"/>
      <c r="F37" s="41"/>
      <c r="G37" s="41">
        <f ca="1">(SUMPRODUCT(($B$53:$B$82=$B47)*($C$53:$C$82=$C47))*7-SUMIF($D$46:$GL$46,H$36,$D47:$GL47))/7</f>
        <v>2</v>
      </c>
      <c r="H37" s="41"/>
      <c r="I37" s="41"/>
      <c r="J37" s="41">
        <f t="shared" ref="J37:AM37" ca="1" si="10">(SUMPRODUCT(($B$53:$B$82=$B47)*($C$53:$C$82=$C47))*7-SUMIF($D$46:$GL$46,K$36,$D47:$GL47))/7</f>
        <v>2</v>
      </c>
      <c r="K37" s="41"/>
      <c r="L37" s="41"/>
      <c r="M37" s="41">
        <f t="shared" ref="M37:AM37" ca="1" si="11">(SUMPRODUCT(($B$53:$B$82=$B47)*($C$53:$C$82=$C47))*7-SUMIF($D$46:$GL$46,N$36,$D47:$GL47))/7</f>
        <v>2</v>
      </c>
      <c r="N37" s="41"/>
      <c r="O37" s="41"/>
      <c r="P37" s="41">
        <f t="shared" ref="P37:AM37" ca="1" si="12">(SUMPRODUCT(($B$53:$B$82=$B47)*($C$53:$C$82=$C47))*7-SUMIF($D$46:$GL$46,Q$36,$D47:$GL47))/7</f>
        <v>2</v>
      </c>
      <c r="Q37" s="41"/>
      <c r="R37" s="41"/>
      <c r="S37" s="41">
        <f t="shared" ref="S37:AM37" ca="1" si="13">(SUMPRODUCT(($B$53:$B$82=$B47)*($C$53:$C$82=$C47))*7-SUMIF($D$46:$GL$46,T$36,$D47:$GL47))/7</f>
        <v>2</v>
      </c>
      <c r="T37" s="41"/>
      <c r="U37" s="41"/>
      <c r="V37" s="41">
        <f t="shared" ref="V37:AM37" ca="1" si="14">(SUMPRODUCT(($B$53:$B$82=$B47)*($C$53:$C$82=$C47))*7-SUMIF($D$46:$GL$46,W$36,$D47:$GL47))/7</f>
        <v>2</v>
      </c>
      <c r="W37" s="41"/>
      <c r="X37" s="41"/>
      <c r="Y37" s="41">
        <f t="shared" ref="Y37:AM37" ca="1" si="15">(SUMPRODUCT(($B$53:$B$82=$B47)*($C$53:$C$82=$C47))*7-SUMIF($D$46:$GL$46,Z$36,$D47:$GL47))/7</f>
        <v>2</v>
      </c>
      <c r="Z37" s="41"/>
      <c r="AA37" s="41"/>
      <c r="AB37" s="41">
        <f t="shared" ref="AB37:AM37" ca="1" si="16">(SUMPRODUCT(($B$53:$B$82=$B47)*($C$53:$C$82=$C47))*7-SUMIF($D$46:$GL$46,AC$36,$D47:$GL47))/7</f>
        <v>2</v>
      </c>
      <c r="AC37" s="41"/>
      <c r="AD37" s="41"/>
      <c r="AE37" s="41">
        <f t="shared" ref="AE37:AM37" ca="1" si="17">(SUMPRODUCT(($B$53:$B$82=$B47)*($C$53:$C$82=$C47))*7-SUMIF($D$46:$GL$46,AF$36,$D47:$GL47))/7</f>
        <v>2</v>
      </c>
      <c r="AF37" s="41"/>
      <c r="AG37" s="41"/>
      <c r="AH37" s="41">
        <f t="shared" ref="AH37:AM37" ca="1" si="18">(SUMPRODUCT(($B$53:$B$82=$B47)*($C$53:$C$82=$C47))*7-SUMIF($D$46:$GL$46,AI$36,$D47:$GL47))/7</f>
        <v>2</v>
      </c>
      <c r="AI37" s="41"/>
      <c r="AJ37" s="41"/>
      <c r="AK37" s="41">
        <f t="shared" ref="AK37:AM37" ca="1" si="19">(SUMPRODUCT(($B$53:$B$82=$B47)*($C$53:$C$82=$C47))*7-SUMIF($D$46:$GL$46,AL$36,$D47:$GL47))/7</f>
        <v>2</v>
      </c>
      <c r="AL37" s="41"/>
      <c r="AM37" s="41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</row>
    <row r="38" spans="1:89" x14ac:dyDescent="0.25">
      <c r="A38" s="50"/>
      <c r="B38" s="46" t="s">
        <v>21</v>
      </c>
      <c r="C38" s="23" t="str">
        <f>B38&amp;" " &amp;A37</f>
        <v>Induction Strain Control</v>
      </c>
      <c r="D38" s="41">
        <f ca="1">(SUMPRODUCT(($B$53:$B$82=$B48)*($C$53:$C$82=$C48))*7-SUMIF($D$46:$GL$46,E$36,$D48:$GL48))/7</f>
        <v>7</v>
      </c>
      <c r="E38" s="41"/>
      <c r="F38" s="41"/>
      <c r="G38" s="41">
        <f ca="1">(SUMPRODUCT(($B$53:$B$82=$B48)*($C$53:$C$82=$C48))*7-SUMIF($D$46:$GL$46,H$36,$D48:$GL48))/7</f>
        <v>7</v>
      </c>
      <c r="H38" s="41"/>
      <c r="I38" s="41"/>
      <c r="J38" s="41">
        <f t="shared" ref="J38:AM38" ca="1" si="20">(SUMPRODUCT(($B$53:$B$82=$B48)*($C$53:$C$82=$C48))*7-SUMIF($D$46:$GL$46,K$36,$D48:$GL48))/7</f>
        <v>7</v>
      </c>
      <c r="K38" s="41"/>
      <c r="L38" s="41"/>
      <c r="M38" s="41">
        <f t="shared" ref="M38:AM38" ca="1" si="21">(SUMPRODUCT(($B$53:$B$82=$B48)*($C$53:$C$82=$C48))*7-SUMIF($D$46:$GL$46,N$36,$D48:$GL48))/7</f>
        <v>7</v>
      </c>
      <c r="N38" s="41"/>
      <c r="O38" s="41"/>
      <c r="P38" s="41">
        <f t="shared" ref="P38:AM38" ca="1" si="22">(SUMPRODUCT(($B$53:$B$82=$B48)*($C$53:$C$82=$C48))*7-SUMIF($D$46:$GL$46,Q$36,$D48:$GL48))/7</f>
        <v>7</v>
      </c>
      <c r="Q38" s="41"/>
      <c r="R38" s="41"/>
      <c r="S38" s="41">
        <f t="shared" ref="S38:AM38" ca="1" si="23">(SUMPRODUCT(($B$53:$B$82=$B48)*($C$53:$C$82=$C48))*7-SUMIF($D$46:$GL$46,T$36,$D48:$GL48))/7</f>
        <v>7</v>
      </c>
      <c r="T38" s="41"/>
      <c r="U38" s="41"/>
      <c r="V38" s="41">
        <f t="shared" ref="V38:AM38" ca="1" si="24">(SUMPRODUCT(($B$53:$B$82=$B48)*($C$53:$C$82=$C48))*7-SUMIF($D$46:$GL$46,W$36,$D48:$GL48))/7</f>
        <v>7</v>
      </c>
      <c r="W38" s="41"/>
      <c r="X38" s="41"/>
      <c r="Y38" s="41">
        <f t="shared" ref="Y38:AM38" ca="1" si="25">(SUMPRODUCT(($B$53:$B$82=$B48)*($C$53:$C$82=$C48))*7-SUMIF($D$46:$GL$46,Z$36,$D48:$GL48))/7</f>
        <v>7</v>
      </c>
      <c r="Z38" s="41"/>
      <c r="AA38" s="41"/>
      <c r="AB38" s="41">
        <f t="shared" ref="AB38:AM38" ca="1" si="26">(SUMPRODUCT(($B$53:$B$82=$B48)*($C$53:$C$82=$C48))*7-SUMIF($D$46:$GL$46,AC$36,$D48:$GL48))/7</f>
        <v>7</v>
      </c>
      <c r="AC38" s="41"/>
      <c r="AD38" s="41"/>
      <c r="AE38" s="41">
        <f t="shared" ref="AE38:AM38" ca="1" si="27">(SUMPRODUCT(($B$53:$B$82=$B48)*($C$53:$C$82=$C48))*7-SUMIF($D$46:$GL$46,AF$36,$D48:$GL48))/7</f>
        <v>7</v>
      </c>
      <c r="AF38" s="41"/>
      <c r="AG38" s="41"/>
      <c r="AH38" s="41">
        <f t="shared" ref="AH38:AM38" ca="1" si="28">(SUMPRODUCT(($B$53:$B$82=$B48)*($C$53:$C$82=$C48))*7-SUMIF($D$46:$GL$46,AI$36,$D48:$GL48))/7</f>
        <v>7</v>
      </c>
      <c r="AI38" s="41"/>
      <c r="AJ38" s="41"/>
      <c r="AK38" s="41">
        <f t="shared" ref="AK38:AM38" ca="1" si="29">(SUMPRODUCT(($B$53:$B$82=$B48)*($C$53:$C$82=$C48))*7-SUMIF($D$46:$GL$46,AL$36,$D48:$GL48))/7</f>
        <v>7</v>
      </c>
      <c r="AL38" s="41"/>
      <c r="AM38" s="41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</row>
    <row r="39" spans="1:89" x14ac:dyDescent="0.25">
      <c r="A39" s="51"/>
      <c r="B39" s="46" t="s">
        <v>19</v>
      </c>
      <c r="C39" s="23" t="str">
        <f>B39&amp;" " &amp;A37</f>
        <v>Ambiant Strain Control</v>
      </c>
      <c r="D39" s="41">
        <f ca="1">(SUMPRODUCT(($B$53:$B$82=$B49)*($C$53:$C$82=$C49))*7-SUMIF($D$46:$GL$46,E$36,$D49:$GL49))/7</f>
        <v>5</v>
      </c>
      <c r="E39" s="41"/>
      <c r="F39" s="41"/>
      <c r="G39" s="41">
        <f ca="1">(SUMPRODUCT(($B$53:$B$82=$B49)*($C$53:$C$82=$C49))*7-SUMIF($D$46:$GL$46,H$36,$D49:$GL49))/7</f>
        <v>5</v>
      </c>
      <c r="H39" s="41"/>
      <c r="I39" s="41"/>
      <c r="J39" s="41">
        <f t="shared" ref="J39:AM39" ca="1" si="30">(SUMPRODUCT(($B$53:$B$82=$B49)*($C$53:$C$82=$C49))*7-SUMIF($D$46:$GL$46,K$36,$D49:$GL49))/7</f>
        <v>5</v>
      </c>
      <c r="K39" s="41"/>
      <c r="L39" s="41"/>
      <c r="M39" s="41">
        <f t="shared" ref="M39:AM39" ca="1" si="31">(SUMPRODUCT(($B$53:$B$82=$B49)*($C$53:$C$82=$C49))*7-SUMIF($D$46:$GL$46,N$36,$D49:$GL49))/7</f>
        <v>5</v>
      </c>
      <c r="N39" s="41"/>
      <c r="O39" s="41"/>
      <c r="P39" s="41">
        <f t="shared" ref="P39:AM39" ca="1" si="32">(SUMPRODUCT(($B$53:$B$82=$B49)*($C$53:$C$82=$C49))*7-SUMIF($D$46:$GL$46,Q$36,$D49:$GL49))/7</f>
        <v>5</v>
      </c>
      <c r="Q39" s="41"/>
      <c r="R39" s="41"/>
      <c r="S39" s="41">
        <f t="shared" ref="S39:AM39" ca="1" si="33">(SUMPRODUCT(($B$53:$B$82=$B49)*($C$53:$C$82=$C49))*7-SUMIF($D$46:$GL$46,T$36,$D49:$GL49))/7</f>
        <v>5</v>
      </c>
      <c r="T39" s="41"/>
      <c r="U39" s="41"/>
      <c r="V39" s="41">
        <f t="shared" ref="V39:AM39" ca="1" si="34">(SUMPRODUCT(($B$53:$B$82=$B49)*($C$53:$C$82=$C49))*7-SUMIF($D$46:$GL$46,W$36,$D49:$GL49))/7</f>
        <v>5</v>
      </c>
      <c r="W39" s="41"/>
      <c r="X39" s="41"/>
      <c r="Y39" s="41">
        <f t="shared" ref="Y39:AM39" ca="1" si="35">(SUMPRODUCT(($B$53:$B$82=$B49)*($C$53:$C$82=$C49))*7-SUMIF($D$46:$GL$46,Z$36,$D49:$GL49))/7</f>
        <v>5</v>
      </c>
      <c r="Z39" s="41"/>
      <c r="AA39" s="41"/>
      <c r="AB39" s="41">
        <f t="shared" ref="AB39:AM39" ca="1" si="36">(SUMPRODUCT(($B$53:$B$82=$B49)*($C$53:$C$82=$C49))*7-SUMIF($D$46:$GL$46,AC$36,$D49:$GL49))/7</f>
        <v>5</v>
      </c>
      <c r="AC39" s="41"/>
      <c r="AD39" s="41"/>
      <c r="AE39" s="41">
        <f t="shared" ref="AE39:AM39" ca="1" si="37">(SUMPRODUCT(($B$53:$B$82=$B49)*($C$53:$C$82=$C49))*7-SUMIF($D$46:$GL$46,AF$36,$D49:$GL49))/7</f>
        <v>5</v>
      </c>
      <c r="AF39" s="41"/>
      <c r="AG39" s="41"/>
      <c r="AH39" s="41">
        <f t="shared" ref="AH39:AM39" ca="1" si="38">(SUMPRODUCT(($B$53:$B$82=$B49)*($C$53:$C$82=$C49))*7-SUMIF($D$46:$GL$46,AI$36,$D49:$GL49))/7</f>
        <v>5</v>
      </c>
      <c r="AI39" s="41"/>
      <c r="AJ39" s="41"/>
      <c r="AK39" s="41">
        <f t="shared" ref="AK39:AM39" ca="1" si="39">(SUMPRODUCT(($B$53:$B$82=$B49)*($C$53:$C$82=$C49))*7-SUMIF($D$46:$GL$46,AL$36,$D49:$GL49))/7</f>
        <v>5</v>
      </c>
      <c r="AL39" s="41"/>
      <c r="AM39" s="41"/>
      <c r="AN39" s="16"/>
      <c r="AO39" s="16"/>
      <c r="AP39" s="16"/>
      <c r="AQ39" s="16"/>
    </row>
    <row r="40" spans="1:89" x14ac:dyDescent="0.25">
      <c r="A40" s="52" t="s">
        <v>11</v>
      </c>
      <c r="B40" s="46" t="s">
        <v>20</v>
      </c>
      <c r="C40" s="23" t="str">
        <f>B40&amp;" " &amp;A40</f>
        <v>Four Load Control</v>
      </c>
      <c r="D40" s="41"/>
      <c r="E40" s="41">
        <f ca="1">(SUMPRODUCT(($B$53:$B$82=$B50)*($C$53:$C$82=$C50))*7-SUMIF($D$46:$GL$46,E$36,$D50:$GL50))/7</f>
        <v>5</v>
      </c>
      <c r="F40" s="41"/>
      <c r="G40" s="41"/>
      <c r="H40" s="41">
        <f ca="1">(SUMPRODUCT(($B$53:$B$82=$B50)*($C$53:$C$82=$C50))*7-SUMIF($D$46:$GL$46,H$36,$D50:$GL50))/7</f>
        <v>5</v>
      </c>
      <c r="I40" s="41"/>
      <c r="J40" s="41"/>
      <c r="K40" s="41">
        <f t="shared" ref="K40:AM40" ca="1" si="40">(SUMPRODUCT(($B$53:$B$82=$B50)*($C$53:$C$82=$C50))*7-SUMIF($D$46:$GL$46,K$36,$D50:$GL50))/7</f>
        <v>5</v>
      </c>
      <c r="L40" s="41"/>
      <c r="M40" s="41"/>
      <c r="N40" s="41">
        <f t="shared" ref="N40:AM40" ca="1" si="41">(SUMPRODUCT(($B$53:$B$82=$B50)*($C$53:$C$82=$C50))*7-SUMIF($D$46:$GL$46,N$36,$D50:$GL50))/7</f>
        <v>5</v>
      </c>
      <c r="O40" s="41"/>
      <c r="P40" s="41"/>
      <c r="Q40" s="41">
        <f t="shared" ref="Q40:AM40" ca="1" si="42">(SUMPRODUCT(($B$53:$B$82=$B50)*($C$53:$C$82=$C50))*7-SUMIF($D$46:$GL$46,Q$36,$D50:$GL50))/7</f>
        <v>5</v>
      </c>
      <c r="R40" s="41"/>
      <c r="S40" s="41"/>
      <c r="T40" s="41">
        <f t="shared" ref="T40:AM40" ca="1" si="43">(SUMPRODUCT(($B$53:$B$82=$B50)*($C$53:$C$82=$C50))*7-SUMIF($D$46:$GL$46,T$36,$D50:$GL50))/7</f>
        <v>5</v>
      </c>
      <c r="U40" s="41"/>
      <c r="V40" s="41"/>
      <c r="W40" s="41">
        <f t="shared" ref="W40:AM40" ca="1" si="44">(SUMPRODUCT(($B$53:$B$82=$B50)*($C$53:$C$82=$C50))*7-SUMIF($D$46:$GL$46,W$36,$D50:$GL50))/7</f>
        <v>5</v>
      </c>
      <c r="X40" s="41"/>
      <c r="Y40" s="41"/>
      <c r="Z40" s="41">
        <f t="shared" ref="Z40:AM40" ca="1" si="45">(SUMPRODUCT(($B$53:$B$82=$B50)*($C$53:$C$82=$C50))*7-SUMIF($D$46:$GL$46,Z$36,$D50:$GL50))/7</f>
        <v>5</v>
      </c>
      <c r="AA40" s="41"/>
      <c r="AB40" s="41"/>
      <c r="AC40" s="41">
        <f t="shared" ref="AC40:AM40" ca="1" si="46">(SUMPRODUCT(($B$53:$B$82=$B50)*($C$53:$C$82=$C50))*7-SUMIF($D$46:$GL$46,AC$36,$D50:$GL50))/7</f>
        <v>5</v>
      </c>
      <c r="AD40" s="41"/>
      <c r="AE40" s="41"/>
      <c r="AF40" s="41">
        <f t="shared" ref="AF40:AM40" ca="1" si="47">(SUMPRODUCT(($B$53:$B$82=$B50)*($C$53:$C$82=$C50))*7-SUMIF($D$46:$GL$46,AF$36,$D50:$GL50))/7</f>
        <v>5</v>
      </c>
      <c r="AG40" s="41"/>
      <c r="AH40" s="41"/>
      <c r="AI40" s="41">
        <f t="shared" ref="AI40:AM40" ca="1" si="48">(SUMPRODUCT(($B$53:$B$82=$B50)*($C$53:$C$82=$C50))*7-SUMIF($D$46:$GL$46,AI$36,$D50:$GL50))/7</f>
        <v>5</v>
      </c>
      <c r="AJ40" s="41"/>
      <c r="AK40" s="41"/>
      <c r="AL40" s="41">
        <f t="shared" ref="AL40:AM40" ca="1" si="49">(SUMPRODUCT(($B$53:$B$82=$B50)*($C$53:$C$82=$C50))*7-SUMIF($D$46:$GL$46,AL$36,$D50:$GL50))/7</f>
        <v>5</v>
      </c>
      <c r="AM40" s="41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</row>
    <row r="41" spans="1:89" x14ac:dyDescent="0.25">
      <c r="A41" s="53"/>
      <c r="B41" s="46" t="s">
        <v>21</v>
      </c>
      <c r="C41" s="23" t="str">
        <f>B41&amp;" " &amp;A40</f>
        <v>Induction Load Control</v>
      </c>
      <c r="D41" s="41"/>
      <c r="E41" s="41">
        <f ca="1">(SUMPRODUCT(($B$53:$B$82=$B51)*($C$53:$C$82=$C51))*7-SUMIF($D$46:$GL$46,E$36,$D51:$GL51))/7</f>
        <v>3</v>
      </c>
      <c r="F41" s="41"/>
      <c r="G41" s="41"/>
      <c r="H41" s="41">
        <f ca="1">(SUMPRODUCT(($B$53:$B$82=$B51)*($C$53:$C$82=$C51))*7-SUMIF($D$46:$GL$46,H$36,$D51:$GL51))/7</f>
        <v>3</v>
      </c>
      <c r="I41" s="41"/>
      <c r="J41" s="41"/>
      <c r="K41" s="41">
        <f t="shared" ref="K41:AM41" ca="1" si="50">(SUMPRODUCT(($B$53:$B$82=$B51)*($C$53:$C$82=$C51))*7-SUMIF($D$46:$GL$46,K$36,$D51:$GL51))/7</f>
        <v>3</v>
      </c>
      <c r="L41" s="41"/>
      <c r="M41" s="41"/>
      <c r="N41" s="41">
        <f t="shared" ref="N41:AM41" ca="1" si="51">(SUMPRODUCT(($B$53:$B$82=$B51)*($C$53:$C$82=$C51))*7-SUMIF($D$46:$GL$46,N$36,$D51:$GL51))/7</f>
        <v>3</v>
      </c>
      <c r="O41" s="41"/>
      <c r="P41" s="41"/>
      <c r="Q41" s="41">
        <f t="shared" ref="Q41:AM41" ca="1" si="52">(SUMPRODUCT(($B$53:$B$82=$B51)*($C$53:$C$82=$C51))*7-SUMIF($D$46:$GL$46,Q$36,$D51:$GL51))/7</f>
        <v>3</v>
      </c>
      <c r="R41" s="41"/>
      <c r="S41" s="41"/>
      <c r="T41" s="41">
        <f t="shared" ref="T41:AM41" ca="1" si="53">(SUMPRODUCT(($B$53:$B$82=$B51)*($C$53:$C$82=$C51))*7-SUMIF($D$46:$GL$46,T$36,$D51:$GL51))/7</f>
        <v>3</v>
      </c>
      <c r="U41" s="41"/>
      <c r="V41" s="41"/>
      <c r="W41" s="41">
        <f t="shared" ref="W41:AM41" ca="1" si="54">(SUMPRODUCT(($B$53:$B$82=$B51)*($C$53:$C$82=$C51))*7-SUMIF($D$46:$GL$46,W$36,$D51:$GL51))/7</f>
        <v>3</v>
      </c>
      <c r="X41" s="41"/>
      <c r="Y41" s="41"/>
      <c r="Z41" s="41">
        <f t="shared" ref="Z41:AM41" ca="1" si="55">(SUMPRODUCT(($B$53:$B$82=$B51)*($C$53:$C$82=$C51))*7-SUMIF($D$46:$GL$46,Z$36,$D51:$GL51))/7</f>
        <v>3</v>
      </c>
      <c r="AA41" s="41"/>
      <c r="AB41" s="41"/>
      <c r="AC41" s="41">
        <f t="shared" ref="AC41:AM41" ca="1" si="56">(SUMPRODUCT(($B$53:$B$82=$B51)*($C$53:$C$82=$C51))*7-SUMIF($D$46:$GL$46,AC$36,$D51:$GL51))/7</f>
        <v>3</v>
      </c>
      <c r="AD41" s="41"/>
      <c r="AE41" s="41"/>
      <c r="AF41" s="41">
        <f t="shared" ref="AF41:AM41" ca="1" si="57">(SUMPRODUCT(($B$53:$B$82=$B51)*($C$53:$C$82=$C51))*7-SUMIF($D$46:$GL$46,AF$36,$D51:$GL51))/7</f>
        <v>3</v>
      </c>
      <c r="AG41" s="41"/>
      <c r="AH41" s="41"/>
      <c r="AI41" s="41">
        <f t="shared" ref="AI41:AM41" ca="1" si="58">(SUMPRODUCT(($B$53:$B$82=$B51)*($C$53:$C$82=$C51))*7-SUMIF($D$46:$GL$46,AI$36,$D51:$GL51))/7</f>
        <v>3</v>
      </c>
      <c r="AJ41" s="41"/>
      <c r="AK41" s="41"/>
      <c r="AL41" s="41">
        <f t="shared" ref="AL41:AM41" ca="1" si="59">(SUMPRODUCT(($B$53:$B$82=$B51)*($C$53:$C$82=$C51))*7-SUMIF($D$46:$GL$46,AL$36,$D51:$GL51))/7</f>
        <v>3</v>
      </c>
      <c r="AM41" s="41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</row>
    <row r="42" spans="1:89" x14ac:dyDescent="0.25">
      <c r="A42" s="53"/>
      <c r="B42" s="46" t="s">
        <v>19</v>
      </c>
      <c r="C42" s="23" t="str">
        <f>B42&amp;" " &amp;A40</f>
        <v>Ambiant Load Control</v>
      </c>
      <c r="D42" s="41"/>
      <c r="E42" s="41">
        <f ca="1">(SUMPRODUCT(($B$53:$B$82=$B52)*($C$53:$C$82=$C52))*7-SUMIF($D$46:$GL$46,E$36,$D52:$GL52))/7</f>
        <v>5</v>
      </c>
      <c r="F42" s="41"/>
      <c r="G42" s="41"/>
      <c r="H42" s="41">
        <f ca="1">(SUMPRODUCT(($B$53:$B$82=$B52)*($C$53:$C$82=$C52))*7-SUMIF($D$46:$GL$46,H$36,$D52:$GL52))/7</f>
        <v>5</v>
      </c>
      <c r="I42" s="41"/>
      <c r="J42" s="41"/>
      <c r="K42" s="41">
        <f t="shared" ref="K42:AM42" ca="1" si="60">(SUMPRODUCT(($B$53:$B$82=$B52)*($C$53:$C$82=$C52))*7-SUMIF($D$46:$GL$46,K$36,$D52:$GL52))/7</f>
        <v>5</v>
      </c>
      <c r="L42" s="41"/>
      <c r="M42" s="41"/>
      <c r="N42" s="41">
        <f t="shared" ref="N42:AM42" ca="1" si="61">(SUMPRODUCT(($B$53:$B$82=$B52)*($C$53:$C$82=$C52))*7-SUMIF($D$46:$GL$46,N$36,$D52:$GL52))/7</f>
        <v>5</v>
      </c>
      <c r="O42" s="41"/>
      <c r="P42" s="41"/>
      <c r="Q42" s="41">
        <f t="shared" ref="Q42:AM42" ca="1" si="62">(SUMPRODUCT(($B$53:$B$82=$B52)*($C$53:$C$82=$C52))*7-SUMIF($D$46:$GL$46,Q$36,$D52:$GL52))/7</f>
        <v>5</v>
      </c>
      <c r="R42" s="41"/>
      <c r="S42" s="41"/>
      <c r="T42" s="41">
        <f t="shared" ref="T42:AM42" ca="1" si="63">(SUMPRODUCT(($B$53:$B$82=$B52)*($C$53:$C$82=$C52))*7-SUMIF($D$46:$GL$46,T$36,$D52:$GL52))/7</f>
        <v>5</v>
      </c>
      <c r="U42" s="41"/>
      <c r="V42" s="41"/>
      <c r="W42" s="41">
        <f t="shared" ref="W42:AM42" ca="1" si="64">(SUMPRODUCT(($B$53:$B$82=$B52)*($C$53:$C$82=$C52))*7-SUMIF($D$46:$GL$46,W$36,$D52:$GL52))/7</f>
        <v>5</v>
      </c>
      <c r="X42" s="41"/>
      <c r="Y42" s="41"/>
      <c r="Z42" s="41">
        <f t="shared" ref="Z42:AM42" ca="1" si="65">(SUMPRODUCT(($B$53:$B$82=$B52)*($C$53:$C$82=$C52))*7-SUMIF($D$46:$GL$46,Z$36,$D52:$GL52))/7</f>
        <v>5</v>
      </c>
      <c r="AA42" s="41"/>
      <c r="AB42" s="41"/>
      <c r="AC42" s="41">
        <f t="shared" ref="AC42:AM42" ca="1" si="66">(SUMPRODUCT(($B$53:$B$82=$B52)*($C$53:$C$82=$C52))*7-SUMIF($D$46:$GL$46,AC$36,$D52:$GL52))/7</f>
        <v>5</v>
      </c>
      <c r="AD42" s="41"/>
      <c r="AE42" s="41"/>
      <c r="AF42" s="41">
        <f t="shared" ref="AF42:AM42" ca="1" si="67">(SUMPRODUCT(($B$53:$B$82=$B52)*($C$53:$C$82=$C52))*7-SUMIF($D$46:$GL$46,AF$36,$D52:$GL52))/7</f>
        <v>5</v>
      </c>
      <c r="AG42" s="41"/>
      <c r="AH42" s="41"/>
      <c r="AI42" s="41">
        <f t="shared" ref="AI42:AM42" ca="1" si="68">(SUMPRODUCT(($B$53:$B$82=$B52)*($C$53:$C$82=$C52))*7-SUMIF($D$46:$GL$46,AI$36,$D52:$GL52))/7</f>
        <v>5</v>
      </c>
      <c r="AJ42" s="41"/>
      <c r="AK42" s="41"/>
      <c r="AL42" s="41">
        <f t="shared" ref="AL42:AM42" ca="1" si="69">(SUMPRODUCT(($B$53:$B$82=$B52)*($C$53:$C$82=$C52))*7-SUMIF($D$46:$GL$46,AL$36,$D52:$GL52))/7</f>
        <v>5</v>
      </c>
      <c r="AM42" s="41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</row>
    <row r="43" spans="1:89" x14ac:dyDescent="0.25">
      <c r="C43" s="24">
        <f>MONTH($G$29)</f>
        <v>1</v>
      </c>
      <c r="D43" s="25">
        <f>MONTH($G$29+8)</f>
        <v>1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16"/>
      <c r="R43" s="16"/>
      <c r="S43" s="16"/>
      <c r="T43" s="16"/>
      <c r="U43" s="16"/>
    </row>
    <row r="44" spans="1:89" x14ac:dyDescent="0.25">
      <c r="B44" s="2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89" s="32" customFormat="1" x14ac:dyDescent="0.25">
      <c r="A45" s="32" t="s">
        <v>13</v>
      </c>
      <c r="B45" s="32" t="s">
        <v>14</v>
      </c>
      <c r="C45" s="32" t="s">
        <v>15</v>
      </c>
      <c r="D45" s="33">
        <f ca="1">NOW()</f>
        <v>43922.682129050925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7"/>
      <c r="S45" s="37"/>
      <c r="T45" s="37"/>
      <c r="U45" s="37"/>
    </row>
    <row r="46" spans="1:89" x14ac:dyDescent="0.25">
      <c r="D46" s="38">
        <f ca="1">WEEKNUM(D45)</f>
        <v>14</v>
      </c>
      <c r="E46" s="38">
        <f t="shared" ref="E46:BP46" si="70">WEEKNUM(E45)</f>
        <v>0</v>
      </c>
      <c r="F46" s="38">
        <f t="shared" si="70"/>
        <v>0</v>
      </c>
      <c r="G46" s="38">
        <f t="shared" si="70"/>
        <v>0</v>
      </c>
      <c r="H46" s="38">
        <f t="shared" si="70"/>
        <v>0</v>
      </c>
      <c r="I46" s="38">
        <f t="shared" si="70"/>
        <v>0</v>
      </c>
      <c r="J46" s="38">
        <f t="shared" si="70"/>
        <v>0</v>
      </c>
      <c r="K46" s="38">
        <f t="shared" si="70"/>
        <v>0</v>
      </c>
      <c r="L46" s="38">
        <f t="shared" si="70"/>
        <v>0</v>
      </c>
      <c r="M46" s="38">
        <f t="shared" si="70"/>
        <v>0</v>
      </c>
      <c r="N46" s="38">
        <f t="shared" si="70"/>
        <v>0</v>
      </c>
      <c r="O46" s="38">
        <f t="shared" si="70"/>
        <v>0</v>
      </c>
      <c r="P46" s="38">
        <f t="shared" si="70"/>
        <v>0</v>
      </c>
      <c r="Q46" s="38">
        <f t="shared" si="70"/>
        <v>0</v>
      </c>
      <c r="R46" s="38">
        <f t="shared" si="70"/>
        <v>0</v>
      </c>
      <c r="S46" s="38">
        <f t="shared" si="70"/>
        <v>0</v>
      </c>
      <c r="T46" s="38">
        <f t="shared" si="70"/>
        <v>0</v>
      </c>
      <c r="U46" s="38">
        <f t="shared" si="70"/>
        <v>0</v>
      </c>
      <c r="V46" s="38">
        <f t="shared" si="70"/>
        <v>0</v>
      </c>
      <c r="W46" s="38">
        <f t="shared" si="70"/>
        <v>0</v>
      </c>
      <c r="X46" s="38">
        <f t="shared" si="70"/>
        <v>0</v>
      </c>
      <c r="Y46" s="38">
        <f t="shared" si="70"/>
        <v>0</v>
      </c>
      <c r="Z46" s="38">
        <f t="shared" si="70"/>
        <v>0</v>
      </c>
      <c r="AA46" s="38">
        <f t="shared" si="70"/>
        <v>0</v>
      </c>
      <c r="AB46" s="38">
        <f t="shared" si="70"/>
        <v>0</v>
      </c>
      <c r="AC46" s="38">
        <f t="shared" si="70"/>
        <v>0</v>
      </c>
      <c r="AD46" s="38">
        <f t="shared" si="70"/>
        <v>0</v>
      </c>
      <c r="AE46" s="38">
        <f t="shared" si="70"/>
        <v>0</v>
      </c>
      <c r="AF46" s="38">
        <f t="shared" si="70"/>
        <v>0</v>
      </c>
      <c r="AG46" s="38">
        <f t="shared" si="70"/>
        <v>0</v>
      </c>
      <c r="AH46" s="38">
        <f t="shared" si="70"/>
        <v>0</v>
      </c>
      <c r="AI46" s="38">
        <f t="shared" si="70"/>
        <v>0</v>
      </c>
      <c r="AJ46" s="38">
        <f t="shared" si="70"/>
        <v>0</v>
      </c>
      <c r="AK46" s="38">
        <f t="shared" si="70"/>
        <v>0</v>
      </c>
      <c r="AL46" s="38">
        <f t="shared" si="70"/>
        <v>0</v>
      </c>
      <c r="AM46" s="38">
        <f t="shared" si="70"/>
        <v>0</v>
      </c>
      <c r="AN46" s="38">
        <f t="shared" si="70"/>
        <v>0</v>
      </c>
      <c r="AO46" s="38">
        <f t="shared" si="70"/>
        <v>0</v>
      </c>
      <c r="AP46" s="38">
        <f t="shared" si="70"/>
        <v>0</v>
      </c>
      <c r="AQ46" s="38">
        <f t="shared" si="70"/>
        <v>0</v>
      </c>
      <c r="AR46" s="38">
        <f t="shared" si="70"/>
        <v>0</v>
      </c>
      <c r="AS46" s="38">
        <f t="shared" si="70"/>
        <v>0</v>
      </c>
      <c r="AT46" s="38">
        <f t="shared" si="70"/>
        <v>0</v>
      </c>
      <c r="AU46" s="38">
        <f t="shared" si="70"/>
        <v>0</v>
      </c>
      <c r="AV46" s="38">
        <f t="shared" si="70"/>
        <v>0</v>
      </c>
      <c r="AW46" s="38">
        <f t="shared" si="70"/>
        <v>0</v>
      </c>
      <c r="AX46" s="38">
        <f t="shared" si="70"/>
        <v>0</v>
      </c>
      <c r="AY46" s="38">
        <f t="shared" si="70"/>
        <v>0</v>
      </c>
      <c r="AZ46" s="38">
        <f t="shared" si="70"/>
        <v>0</v>
      </c>
      <c r="BA46" s="38">
        <f t="shared" si="70"/>
        <v>0</v>
      </c>
      <c r="BB46" s="38">
        <f t="shared" si="70"/>
        <v>0</v>
      </c>
      <c r="BC46" s="38">
        <f t="shared" si="70"/>
        <v>0</v>
      </c>
      <c r="BD46" s="38">
        <f t="shared" si="70"/>
        <v>0</v>
      </c>
      <c r="BE46" s="38">
        <f t="shared" si="70"/>
        <v>0</v>
      </c>
      <c r="BF46" s="38">
        <f t="shared" si="70"/>
        <v>0</v>
      </c>
      <c r="BG46" s="38">
        <f t="shared" si="70"/>
        <v>0</v>
      </c>
      <c r="BH46" s="38">
        <f t="shared" si="70"/>
        <v>0</v>
      </c>
      <c r="BI46" s="38">
        <f t="shared" si="70"/>
        <v>0</v>
      </c>
      <c r="BJ46" s="38">
        <f t="shared" si="70"/>
        <v>0</v>
      </c>
      <c r="BK46" s="38">
        <f t="shared" si="70"/>
        <v>0</v>
      </c>
      <c r="BL46" s="38">
        <f t="shared" si="70"/>
        <v>0</v>
      </c>
      <c r="BM46" s="38">
        <f t="shared" si="70"/>
        <v>0</v>
      </c>
      <c r="BN46" s="38">
        <f t="shared" si="70"/>
        <v>0</v>
      </c>
      <c r="BO46" s="38">
        <f t="shared" si="70"/>
        <v>0</v>
      </c>
      <c r="BP46" s="38">
        <f t="shared" si="70"/>
        <v>0</v>
      </c>
      <c r="BQ46" s="38">
        <f t="shared" ref="BQ46:CK46" si="71">WEEKNUM(BQ45)</f>
        <v>0</v>
      </c>
      <c r="BR46" s="38">
        <f t="shared" si="71"/>
        <v>0</v>
      </c>
      <c r="BS46" s="38">
        <f t="shared" si="71"/>
        <v>0</v>
      </c>
      <c r="BT46" s="38">
        <f t="shared" si="71"/>
        <v>0</v>
      </c>
      <c r="BU46" s="38">
        <f t="shared" si="71"/>
        <v>0</v>
      </c>
      <c r="BV46" s="38">
        <f t="shared" si="71"/>
        <v>0</v>
      </c>
      <c r="BW46" s="38">
        <f t="shared" si="71"/>
        <v>0</v>
      </c>
      <c r="BX46" s="38">
        <f t="shared" si="71"/>
        <v>0</v>
      </c>
      <c r="BY46" s="38">
        <f t="shared" si="71"/>
        <v>0</v>
      </c>
      <c r="BZ46" s="38">
        <f t="shared" si="71"/>
        <v>0</v>
      </c>
      <c r="CA46" s="38">
        <f t="shared" si="71"/>
        <v>0</v>
      </c>
      <c r="CB46" s="38">
        <f t="shared" si="71"/>
        <v>0</v>
      </c>
      <c r="CC46" s="38">
        <f t="shared" si="71"/>
        <v>0</v>
      </c>
      <c r="CD46" s="38">
        <f t="shared" si="71"/>
        <v>0</v>
      </c>
      <c r="CE46" s="38">
        <f t="shared" si="71"/>
        <v>0</v>
      </c>
      <c r="CF46" s="38">
        <f t="shared" si="71"/>
        <v>0</v>
      </c>
      <c r="CG46" s="38">
        <f t="shared" si="71"/>
        <v>0</v>
      </c>
      <c r="CH46" s="38">
        <f t="shared" si="71"/>
        <v>0</v>
      </c>
      <c r="CI46" s="38">
        <f t="shared" si="71"/>
        <v>0</v>
      </c>
      <c r="CJ46" s="38">
        <f t="shared" si="71"/>
        <v>0</v>
      </c>
      <c r="CK46" s="38">
        <f t="shared" si="71"/>
        <v>0</v>
      </c>
    </row>
    <row r="47" spans="1:89" ht="15" customHeight="1" x14ac:dyDescent="0.25">
      <c r="A47" s="54" t="s">
        <v>12</v>
      </c>
      <c r="B47" s="30" t="s">
        <v>20</v>
      </c>
      <c r="C47" s="31" t="s">
        <v>17</v>
      </c>
      <c r="D47" s="39">
        <f>SUMIFS(D$53:D$82,$B$53:$B$82,$B47,$C$53:$C$82,$C47)</f>
        <v>0</v>
      </c>
      <c r="E47" s="39">
        <f t="shared" ref="E47:BP50" si="72">SUMIFS(E$53:E$82,$B$53:$B$82,$B47,$C$53:$C$82,$C47)</f>
        <v>0</v>
      </c>
      <c r="F47" s="39">
        <f t="shared" si="72"/>
        <v>0</v>
      </c>
      <c r="G47" s="39">
        <f t="shared" si="72"/>
        <v>0</v>
      </c>
      <c r="H47" s="39">
        <f t="shared" si="72"/>
        <v>0</v>
      </c>
      <c r="I47" s="39">
        <f t="shared" si="72"/>
        <v>0</v>
      </c>
      <c r="J47" s="39">
        <f t="shared" si="72"/>
        <v>0</v>
      </c>
      <c r="K47" s="39">
        <f t="shared" si="72"/>
        <v>0</v>
      </c>
      <c r="L47" s="39">
        <f t="shared" si="72"/>
        <v>0</v>
      </c>
      <c r="M47" s="39">
        <f t="shared" si="72"/>
        <v>0</v>
      </c>
      <c r="N47" s="39">
        <f t="shared" si="72"/>
        <v>0</v>
      </c>
      <c r="O47" s="39">
        <f t="shared" si="72"/>
        <v>0</v>
      </c>
      <c r="P47" s="39">
        <f t="shared" si="72"/>
        <v>0</v>
      </c>
      <c r="Q47" s="39">
        <f t="shared" si="72"/>
        <v>0</v>
      </c>
      <c r="R47" s="39">
        <f t="shared" si="72"/>
        <v>0</v>
      </c>
      <c r="S47" s="39">
        <f t="shared" si="72"/>
        <v>0</v>
      </c>
      <c r="T47" s="39">
        <f t="shared" si="72"/>
        <v>0</v>
      </c>
      <c r="U47" s="39">
        <f t="shared" si="72"/>
        <v>0</v>
      </c>
      <c r="V47" s="39">
        <f t="shared" si="72"/>
        <v>0</v>
      </c>
      <c r="W47" s="39">
        <f t="shared" si="72"/>
        <v>0</v>
      </c>
      <c r="X47" s="39">
        <f t="shared" si="72"/>
        <v>0</v>
      </c>
      <c r="Y47" s="39">
        <f t="shared" si="72"/>
        <v>0</v>
      </c>
      <c r="Z47" s="39">
        <f t="shared" si="72"/>
        <v>0</v>
      </c>
      <c r="AA47" s="39">
        <f t="shared" si="72"/>
        <v>0</v>
      </c>
      <c r="AB47" s="39">
        <f t="shared" si="72"/>
        <v>0</v>
      </c>
      <c r="AC47" s="39">
        <f t="shared" si="72"/>
        <v>0</v>
      </c>
      <c r="AD47" s="39">
        <f t="shared" si="72"/>
        <v>0</v>
      </c>
      <c r="AE47" s="39">
        <f t="shared" si="72"/>
        <v>0</v>
      </c>
      <c r="AF47" s="39">
        <f t="shared" si="72"/>
        <v>0</v>
      </c>
      <c r="AG47" s="39">
        <f t="shared" si="72"/>
        <v>0</v>
      </c>
      <c r="AH47" s="39">
        <f t="shared" si="72"/>
        <v>0</v>
      </c>
      <c r="AI47" s="39">
        <f t="shared" si="72"/>
        <v>0</v>
      </c>
      <c r="AJ47" s="39">
        <f t="shared" si="72"/>
        <v>0</v>
      </c>
      <c r="AK47" s="39">
        <f t="shared" si="72"/>
        <v>0</v>
      </c>
      <c r="AL47" s="39">
        <f t="shared" si="72"/>
        <v>0</v>
      </c>
      <c r="AM47" s="39">
        <f t="shared" si="72"/>
        <v>0</v>
      </c>
      <c r="AN47" s="39">
        <f t="shared" si="72"/>
        <v>0</v>
      </c>
      <c r="AO47" s="39">
        <f t="shared" si="72"/>
        <v>0</v>
      </c>
      <c r="AP47" s="39">
        <f t="shared" si="72"/>
        <v>0</v>
      </c>
      <c r="AQ47" s="39">
        <f t="shared" si="72"/>
        <v>0</v>
      </c>
      <c r="AR47" s="39">
        <f t="shared" si="72"/>
        <v>0</v>
      </c>
      <c r="AS47" s="39">
        <f t="shared" si="72"/>
        <v>0</v>
      </c>
      <c r="AT47" s="39">
        <f t="shared" si="72"/>
        <v>0</v>
      </c>
      <c r="AU47" s="39">
        <f t="shared" si="72"/>
        <v>0</v>
      </c>
      <c r="AV47" s="39">
        <f t="shared" si="72"/>
        <v>0</v>
      </c>
      <c r="AW47" s="39">
        <f t="shared" si="72"/>
        <v>0</v>
      </c>
      <c r="AX47" s="39">
        <f t="shared" si="72"/>
        <v>0</v>
      </c>
      <c r="AY47" s="39">
        <f t="shared" si="72"/>
        <v>0</v>
      </c>
      <c r="AZ47" s="39">
        <f t="shared" si="72"/>
        <v>0</v>
      </c>
      <c r="BA47" s="39">
        <f t="shared" si="72"/>
        <v>0</v>
      </c>
      <c r="BB47" s="39">
        <f t="shared" si="72"/>
        <v>0</v>
      </c>
      <c r="BC47" s="39">
        <f t="shared" si="72"/>
        <v>0</v>
      </c>
      <c r="BD47" s="39">
        <f t="shared" si="72"/>
        <v>0</v>
      </c>
      <c r="BE47" s="39">
        <f t="shared" si="72"/>
        <v>0</v>
      </c>
      <c r="BF47" s="39">
        <f t="shared" si="72"/>
        <v>0</v>
      </c>
      <c r="BG47" s="39">
        <f t="shared" si="72"/>
        <v>0</v>
      </c>
      <c r="BH47" s="39">
        <f t="shared" si="72"/>
        <v>0</v>
      </c>
      <c r="BI47" s="39">
        <f t="shared" si="72"/>
        <v>0</v>
      </c>
      <c r="BJ47" s="39">
        <f t="shared" si="72"/>
        <v>0</v>
      </c>
      <c r="BK47" s="39">
        <f t="shared" si="72"/>
        <v>0</v>
      </c>
      <c r="BL47" s="39">
        <f t="shared" si="72"/>
        <v>0</v>
      </c>
      <c r="BM47" s="39">
        <f t="shared" si="72"/>
        <v>0</v>
      </c>
      <c r="BN47" s="39">
        <f t="shared" si="72"/>
        <v>0</v>
      </c>
      <c r="BO47" s="39">
        <f t="shared" si="72"/>
        <v>0</v>
      </c>
      <c r="BP47" s="39">
        <f t="shared" si="72"/>
        <v>0</v>
      </c>
      <c r="BQ47" s="39">
        <f t="shared" ref="BQ47:CK52" si="73">SUMIFS(BQ$53:BQ$82,$B$53:$B$82,$B47,$C$53:$C$82,$C47)</f>
        <v>0</v>
      </c>
      <c r="BR47" s="39">
        <f t="shared" si="73"/>
        <v>0</v>
      </c>
      <c r="BS47" s="39">
        <f t="shared" si="73"/>
        <v>0</v>
      </c>
      <c r="BT47" s="39">
        <f t="shared" si="73"/>
        <v>0</v>
      </c>
      <c r="BU47" s="39">
        <f t="shared" si="73"/>
        <v>0</v>
      </c>
      <c r="BV47" s="39">
        <f t="shared" si="73"/>
        <v>0</v>
      </c>
      <c r="BW47" s="39">
        <f t="shared" si="73"/>
        <v>0</v>
      </c>
      <c r="BX47" s="39">
        <f t="shared" si="73"/>
        <v>0</v>
      </c>
      <c r="BY47" s="39">
        <f t="shared" si="73"/>
        <v>0</v>
      </c>
      <c r="BZ47" s="39">
        <f t="shared" si="73"/>
        <v>0</v>
      </c>
      <c r="CA47" s="39">
        <f t="shared" si="73"/>
        <v>0</v>
      </c>
      <c r="CB47" s="39">
        <f t="shared" si="73"/>
        <v>0</v>
      </c>
      <c r="CC47" s="39">
        <f t="shared" si="73"/>
        <v>0</v>
      </c>
      <c r="CD47" s="39">
        <f t="shared" si="73"/>
        <v>0</v>
      </c>
      <c r="CE47" s="39">
        <f t="shared" si="73"/>
        <v>0</v>
      </c>
      <c r="CF47" s="39">
        <f t="shared" si="73"/>
        <v>0</v>
      </c>
      <c r="CG47" s="39">
        <f t="shared" si="73"/>
        <v>0</v>
      </c>
      <c r="CH47" s="39">
        <f t="shared" si="73"/>
        <v>0</v>
      </c>
      <c r="CI47" s="39">
        <f t="shared" si="73"/>
        <v>0</v>
      </c>
      <c r="CJ47" s="39">
        <f t="shared" si="73"/>
        <v>0</v>
      </c>
      <c r="CK47" s="39">
        <f t="shared" si="73"/>
        <v>0</v>
      </c>
    </row>
    <row r="48" spans="1:89" x14ac:dyDescent="0.25">
      <c r="A48" s="55"/>
      <c r="B48" s="30" t="s">
        <v>21</v>
      </c>
      <c r="C48" s="31" t="s">
        <v>17</v>
      </c>
      <c r="D48" s="39">
        <f>SUMIFS(D$53:D$82,$B$53:$B$82,$B48,$C$53:$C$82,$C48)</f>
        <v>0</v>
      </c>
      <c r="E48" s="39">
        <f t="shared" si="72"/>
        <v>0</v>
      </c>
      <c r="F48" s="39">
        <f t="shared" si="72"/>
        <v>0</v>
      </c>
      <c r="G48" s="39">
        <f t="shared" si="72"/>
        <v>0</v>
      </c>
      <c r="H48" s="39">
        <f t="shared" si="72"/>
        <v>0</v>
      </c>
      <c r="I48" s="39">
        <f t="shared" si="72"/>
        <v>0</v>
      </c>
      <c r="J48" s="39">
        <f t="shared" si="72"/>
        <v>0</v>
      </c>
      <c r="K48" s="39">
        <f t="shared" si="72"/>
        <v>0</v>
      </c>
      <c r="L48" s="39">
        <f t="shared" si="72"/>
        <v>0</v>
      </c>
      <c r="M48" s="39">
        <f t="shared" si="72"/>
        <v>0</v>
      </c>
      <c r="N48" s="39">
        <f t="shared" si="72"/>
        <v>0</v>
      </c>
      <c r="O48" s="39">
        <f t="shared" si="72"/>
        <v>0</v>
      </c>
      <c r="P48" s="39">
        <f t="shared" si="72"/>
        <v>0</v>
      </c>
      <c r="Q48" s="39">
        <f t="shared" si="72"/>
        <v>0</v>
      </c>
      <c r="R48" s="39">
        <f t="shared" si="72"/>
        <v>0</v>
      </c>
      <c r="S48" s="39">
        <f t="shared" si="72"/>
        <v>0</v>
      </c>
      <c r="T48" s="39">
        <f t="shared" si="72"/>
        <v>0</v>
      </c>
      <c r="U48" s="39">
        <f t="shared" si="72"/>
        <v>0</v>
      </c>
      <c r="V48" s="39">
        <f t="shared" si="72"/>
        <v>0</v>
      </c>
      <c r="W48" s="39">
        <f t="shared" si="72"/>
        <v>0</v>
      </c>
      <c r="X48" s="39">
        <f t="shared" si="72"/>
        <v>0</v>
      </c>
      <c r="Y48" s="39">
        <f t="shared" si="72"/>
        <v>0</v>
      </c>
      <c r="Z48" s="39">
        <f t="shared" si="72"/>
        <v>0</v>
      </c>
      <c r="AA48" s="39">
        <f t="shared" si="72"/>
        <v>0</v>
      </c>
      <c r="AB48" s="39">
        <f t="shared" si="72"/>
        <v>0</v>
      </c>
      <c r="AC48" s="39">
        <f t="shared" si="72"/>
        <v>0</v>
      </c>
      <c r="AD48" s="39">
        <f t="shared" si="72"/>
        <v>0</v>
      </c>
      <c r="AE48" s="39">
        <f t="shared" si="72"/>
        <v>0</v>
      </c>
      <c r="AF48" s="39">
        <f t="shared" si="72"/>
        <v>0</v>
      </c>
      <c r="AG48" s="39">
        <f t="shared" si="72"/>
        <v>0</v>
      </c>
      <c r="AH48" s="39">
        <f t="shared" si="72"/>
        <v>0</v>
      </c>
      <c r="AI48" s="39">
        <f t="shared" si="72"/>
        <v>0</v>
      </c>
      <c r="AJ48" s="39">
        <f t="shared" si="72"/>
        <v>0</v>
      </c>
      <c r="AK48" s="39">
        <f t="shared" si="72"/>
        <v>0</v>
      </c>
      <c r="AL48" s="39">
        <f t="shared" si="72"/>
        <v>0</v>
      </c>
      <c r="AM48" s="39">
        <f t="shared" si="72"/>
        <v>0</v>
      </c>
      <c r="AN48" s="39">
        <f t="shared" si="72"/>
        <v>0</v>
      </c>
      <c r="AO48" s="39">
        <f t="shared" si="72"/>
        <v>0</v>
      </c>
      <c r="AP48" s="39">
        <f t="shared" si="72"/>
        <v>0</v>
      </c>
      <c r="AQ48" s="39">
        <f t="shared" si="72"/>
        <v>0</v>
      </c>
      <c r="AR48" s="39">
        <f t="shared" si="72"/>
        <v>0</v>
      </c>
      <c r="AS48" s="39">
        <f t="shared" si="72"/>
        <v>0</v>
      </c>
      <c r="AT48" s="39">
        <f t="shared" si="72"/>
        <v>0</v>
      </c>
      <c r="AU48" s="39">
        <f t="shared" si="72"/>
        <v>0</v>
      </c>
      <c r="AV48" s="39">
        <f t="shared" si="72"/>
        <v>0</v>
      </c>
      <c r="AW48" s="39">
        <f t="shared" si="72"/>
        <v>0</v>
      </c>
      <c r="AX48" s="39">
        <f t="shared" si="72"/>
        <v>0</v>
      </c>
      <c r="AY48" s="39">
        <f t="shared" si="72"/>
        <v>0</v>
      </c>
      <c r="AZ48" s="39">
        <f t="shared" si="72"/>
        <v>0</v>
      </c>
      <c r="BA48" s="39">
        <f t="shared" si="72"/>
        <v>0</v>
      </c>
      <c r="BB48" s="39">
        <f t="shared" si="72"/>
        <v>0</v>
      </c>
      <c r="BC48" s="39">
        <f t="shared" si="72"/>
        <v>0</v>
      </c>
      <c r="BD48" s="39">
        <f t="shared" si="72"/>
        <v>0</v>
      </c>
      <c r="BE48" s="39">
        <f t="shared" si="72"/>
        <v>0</v>
      </c>
      <c r="BF48" s="39">
        <f t="shared" si="72"/>
        <v>0</v>
      </c>
      <c r="BG48" s="39">
        <f t="shared" si="72"/>
        <v>0</v>
      </c>
      <c r="BH48" s="39">
        <f t="shared" si="72"/>
        <v>0</v>
      </c>
      <c r="BI48" s="39">
        <f t="shared" si="72"/>
        <v>0</v>
      </c>
      <c r="BJ48" s="39">
        <f t="shared" si="72"/>
        <v>0</v>
      </c>
      <c r="BK48" s="39">
        <f t="shared" si="72"/>
        <v>0</v>
      </c>
      <c r="BL48" s="39">
        <f t="shared" si="72"/>
        <v>0</v>
      </c>
      <c r="BM48" s="39">
        <f t="shared" si="72"/>
        <v>0</v>
      </c>
      <c r="BN48" s="39">
        <f t="shared" si="72"/>
        <v>0</v>
      </c>
      <c r="BO48" s="39">
        <f t="shared" si="72"/>
        <v>0</v>
      </c>
      <c r="BP48" s="39">
        <f t="shared" si="72"/>
        <v>0</v>
      </c>
      <c r="BQ48" s="39">
        <f t="shared" si="73"/>
        <v>0</v>
      </c>
      <c r="BR48" s="39">
        <f t="shared" si="73"/>
        <v>0</v>
      </c>
      <c r="BS48" s="39">
        <f t="shared" si="73"/>
        <v>0</v>
      </c>
      <c r="BT48" s="39">
        <f t="shared" si="73"/>
        <v>0</v>
      </c>
      <c r="BU48" s="39">
        <f t="shared" si="73"/>
        <v>0</v>
      </c>
      <c r="BV48" s="39">
        <f t="shared" si="73"/>
        <v>0</v>
      </c>
      <c r="BW48" s="39">
        <f t="shared" si="73"/>
        <v>0</v>
      </c>
      <c r="BX48" s="39">
        <f t="shared" si="73"/>
        <v>0</v>
      </c>
      <c r="BY48" s="39">
        <f t="shared" si="73"/>
        <v>0</v>
      </c>
      <c r="BZ48" s="39">
        <f t="shared" si="73"/>
        <v>0</v>
      </c>
      <c r="CA48" s="39">
        <f t="shared" si="73"/>
        <v>0</v>
      </c>
      <c r="CB48" s="39">
        <f t="shared" si="73"/>
        <v>0</v>
      </c>
      <c r="CC48" s="39">
        <f t="shared" si="73"/>
        <v>0</v>
      </c>
      <c r="CD48" s="39">
        <f t="shared" si="73"/>
        <v>0</v>
      </c>
      <c r="CE48" s="39">
        <f t="shared" si="73"/>
        <v>0</v>
      </c>
      <c r="CF48" s="39">
        <f t="shared" si="73"/>
        <v>0</v>
      </c>
      <c r="CG48" s="39">
        <f t="shared" si="73"/>
        <v>0</v>
      </c>
      <c r="CH48" s="39">
        <f t="shared" si="73"/>
        <v>0</v>
      </c>
      <c r="CI48" s="39">
        <f t="shared" si="73"/>
        <v>0</v>
      </c>
      <c r="CJ48" s="39">
        <f t="shared" si="73"/>
        <v>0</v>
      </c>
      <c r="CK48" s="39">
        <f t="shared" si="73"/>
        <v>0</v>
      </c>
    </row>
    <row r="49" spans="1:89" s="31" customFormat="1" x14ac:dyDescent="0.25">
      <c r="A49" s="56"/>
      <c r="B49" s="30" t="s">
        <v>19</v>
      </c>
      <c r="C49" s="31" t="s">
        <v>17</v>
      </c>
      <c r="D49" s="39">
        <f>SUMIFS(D$53:D$82,$B$53:$B$82,$B49,$C$53:$C$82,$C49)</f>
        <v>0</v>
      </c>
      <c r="E49" s="39">
        <f t="shared" si="72"/>
        <v>0</v>
      </c>
      <c r="F49" s="39">
        <f t="shared" si="72"/>
        <v>0</v>
      </c>
      <c r="G49" s="39">
        <f t="shared" si="72"/>
        <v>0</v>
      </c>
      <c r="H49" s="39">
        <f t="shared" si="72"/>
        <v>0</v>
      </c>
      <c r="I49" s="39">
        <f t="shared" si="72"/>
        <v>0</v>
      </c>
      <c r="J49" s="39">
        <f t="shared" si="72"/>
        <v>0</v>
      </c>
      <c r="K49" s="39">
        <f t="shared" si="72"/>
        <v>0</v>
      </c>
      <c r="L49" s="39">
        <f t="shared" si="72"/>
        <v>0</v>
      </c>
      <c r="M49" s="39">
        <f t="shared" si="72"/>
        <v>0</v>
      </c>
      <c r="N49" s="39">
        <f t="shared" si="72"/>
        <v>0</v>
      </c>
      <c r="O49" s="39">
        <f t="shared" si="72"/>
        <v>0</v>
      </c>
      <c r="P49" s="39">
        <f t="shared" si="72"/>
        <v>0</v>
      </c>
      <c r="Q49" s="39">
        <f t="shared" si="72"/>
        <v>0</v>
      </c>
      <c r="R49" s="39">
        <f t="shared" si="72"/>
        <v>0</v>
      </c>
      <c r="S49" s="39">
        <f t="shared" si="72"/>
        <v>0</v>
      </c>
      <c r="T49" s="39">
        <f t="shared" si="72"/>
        <v>0</v>
      </c>
      <c r="U49" s="39">
        <f t="shared" si="72"/>
        <v>0</v>
      </c>
      <c r="V49" s="39">
        <f t="shared" si="72"/>
        <v>0</v>
      </c>
      <c r="W49" s="39">
        <f t="shared" si="72"/>
        <v>0</v>
      </c>
      <c r="X49" s="39">
        <f t="shared" si="72"/>
        <v>0</v>
      </c>
      <c r="Y49" s="39">
        <f t="shared" si="72"/>
        <v>0</v>
      </c>
      <c r="Z49" s="39">
        <f t="shared" si="72"/>
        <v>0</v>
      </c>
      <c r="AA49" s="39">
        <f t="shared" si="72"/>
        <v>0</v>
      </c>
      <c r="AB49" s="39">
        <f t="shared" si="72"/>
        <v>0</v>
      </c>
      <c r="AC49" s="39">
        <f t="shared" si="72"/>
        <v>0</v>
      </c>
      <c r="AD49" s="39">
        <f t="shared" si="72"/>
        <v>0</v>
      </c>
      <c r="AE49" s="39">
        <f t="shared" si="72"/>
        <v>0</v>
      </c>
      <c r="AF49" s="39">
        <f t="shared" si="72"/>
        <v>0</v>
      </c>
      <c r="AG49" s="39">
        <f t="shared" si="72"/>
        <v>0</v>
      </c>
      <c r="AH49" s="39">
        <f t="shared" si="72"/>
        <v>0</v>
      </c>
      <c r="AI49" s="39">
        <f t="shared" si="72"/>
        <v>0</v>
      </c>
      <c r="AJ49" s="39">
        <f t="shared" si="72"/>
        <v>0</v>
      </c>
      <c r="AK49" s="39">
        <f t="shared" si="72"/>
        <v>0</v>
      </c>
      <c r="AL49" s="39">
        <f t="shared" si="72"/>
        <v>0</v>
      </c>
      <c r="AM49" s="39">
        <f t="shared" si="72"/>
        <v>0</v>
      </c>
      <c r="AN49" s="39">
        <f t="shared" si="72"/>
        <v>0</v>
      </c>
      <c r="AO49" s="39">
        <f t="shared" si="72"/>
        <v>0</v>
      </c>
      <c r="AP49" s="39">
        <f t="shared" si="72"/>
        <v>0</v>
      </c>
      <c r="AQ49" s="39">
        <f t="shared" si="72"/>
        <v>0</v>
      </c>
      <c r="AR49" s="39">
        <f t="shared" si="72"/>
        <v>0</v>
      </c>
      <c r="AS49" s="39">
        <f t="shared" si="72"/>
        <v>0</v>
      </c>
      <c r="AT49" s="39">
        <f t="shared" si="72"/>
        <v>0</v>
      </c>
      <c r="AU49" s="39">
        <f t="shared" si="72"/>
        <v>0</v>
      </c>
      <c r="AV49" s="39">
        <f t="shared" si="72"/>
        <v>0</v>
      </c>
      <c r="AW49" s="39">
        <f t="shared" si="72"/>
        <v>0</v>
      </c>
      <c r="AX49" s="39">
        <f t="shared" si="72"/>
        <v>0</v>
      </c>
      <c r="AY49" s="39">
        <f t="shared" si="72"/>
        <v>0</v>
      </c>
      <c r="AZ49" s="39">
        <f t="shared" si="72"/>
        <v>0</v>
      </c>
      <c r="BA49" s="39">
        <f t="shared" si="72"/>
        <v>0</v>
      </c>
      <c r="BB49" s="39">
        <f t="shared" si="72"/>
        <v>0</v>
      </c>
      <c r="BC49" s="39">
        <f t="shared" si="72"/>
        <v>0</v>
      </c>
      <c r="BD49" s="39">
        <f t="shared" si="72"/>
        <v>0</v>
      </c>
      <c r="BE49" s="39">
        <f t="shared" si="72"/>
        <v>0</v>
      </c>
      <c r="BF49" s="39">
        <f t="shared" si="72"/>
        <v>0</v>
      </c>
      <c r="BG49" s="39">
        <f t="shared" si="72"/>
        <v>0</v>
      </c>
      <c r="BH49" s="39">
        <f t="shared" si="72"/>
        <v>0</v>
      </c>
      <c r="BI49" s="39">
        <f t="shared" si="72"/>
        <v>0</v>
      </c>
      <c r="BJ49" s="39">
        <f t="shared" si="72"/>
        <v>0</v>
      </c>
      <c r="BK49" s="39">
        <f t="shared" si="72"/>
        <v>0</v>
      </c>
      <c r="BL49" s="39">
        <f t="shared" si="72"/>
        <v>0</v>
      </c>
      <c r="BM49" s="39">
        <f t="shared" si="72"/>
        <v>0</v>
      </c>
      <c r="BN49" s="39">
        <f t="shared" si="72"/>
        <v>0</v>
      </c>
      <c r="BO49" s="39">
        <f t="shared" si="72"/>
        <v>0</v>
      </c>
      <c r="BP49" s="39">
        <f t="shared" si="72"/>
        <v>0</v>
      </c>
      <c r="BQ49" s="39">
        <f t="shared" si="73"/>
        <v>0</v>
      </c>
      <c r="BR49" s="39">
        <f t="shared" si="73"/>
        <v>0</v>
      </c>
      <c r="BS49" s="39">
        <f t="shared" si="73"/>
        <v>0</v>
      </c>
      <c r="BT49" s="39">
        <f t="shared" si="73"/>
        <v>0</v>
      </c>
      <c r="BU49" s="39">
        <f t="shared" si="73"/>
        <v>0</v>
      </c>
      <c r="BV49" s="39">
        <f t="shared" si="73"/>
        <v>0</v>
      </c>
      <c r="BW49" s="39">
        <f t="shared" si="73"/>
        <v>0</v>
      </c>
      <c r="BX49" s="39">
        <f t="shared" si="73"/>
        <v>0</v>
      </c>
      <c r="BY49" s="39">
        <f t="shared" si="73"/>
        <v>0</v>
      </c>
      <c r="BZ49" s="39">
        <f t="shared" si="73"/>
        <v>0</v>
      </c>
      <c r="CA49" s="39">
        <f t="shared" si="73"/>
        <v>0</v>
      </c>
      <c r="CB49" s="39">
        <f t="shared" si="73"/>
        <v>0</v>
      </c>
      <c r="CC49" s="39">
        <f t="shared" si="73"/>
        <v>0</v>
      </c>
      <c r="CD49" s="39">
        <f t="shared" si="73"/>
        <v>0</v>
      </c>
      <c r="CE49" s="39">
        <f t="shared" si="73"/>
        <v>0</v>
      </c>
      <c r="CF49" s="39">
        <f t="shared" si="73"/>
        <v>0</v>
      </c>
      <c r="CG49" s="39">
        <f t="shared" si="73"/>
        <v>0</v>
      </c>
      <c r="CH49" s="39">
        <f t="shared" si="73"/>
        <v>0</v>
      </c>
      <c r="CI49" s="39">
        <f t="shared" si="73"/>
        <v>0</v>
      </c>
      <c r="CJ49" s="39">
        <f t="shared" si="73"/>
        <v>0</v>
      </c>
      <c r="CK49" s="39">
        <f t="shared" si="73"/>
        <v>0</v>
      </c>
    </row>
    <row r="50" spans="1:89" s="31" customFormat="1" ht="15" customHeight="1" x14ac:dyDescent="0.25">
      <c r="A50" s="54" t="s">
        <v>11</v>
      </c>
      <c r="B50" s="30" t="s">
        <v>20</v>
      </c>
      <c r="C50" s="31" t="s">
        <v>18</v>
      </c>
      <c r="D50" s="39">
        <f>SUMIFS(D$53:D$82,$B$53:$B$82,$B50,$C$53:$C$82,$C50)</f>
        <v>0</v>
      </c>
      <c r="E50" s="39">
        <f t="shared" si="72"/>
        <v>0</v>
      </c>
      <c r="F50" s="39">
        <f t="shared" si="72"/>
        <v>0</v>
      </c>
      <c r="G50" s="39">
        <f t="shared" si="72"/>
        <v>0</v>
      </c>
      <c r="H50" s="39">
        <f t="shared" si="72"/>
        <v>0</v>
      </c>
      <c r="I50" s="39">
        <f t="shared" si="72"/>
        <v>0</v>
      </c>
      <c r="J50" s="39">
        <f t="shared" si="72"/>
        <v>0</v>
      </c>
      <c r="K50" s="39">
        <f t="shared" si="72"/>
        <v>0</v>
      </c>
      <c r="L50" s="39">
        <f t="shared" si="72"/>
        <v>0</v>
      </c>
      <c r="M50" s="39">
        <f t="shared" si="72"/>
        <v>0</v>
      </c>
      <c r="N50" s="39">
        <f t="shared" si="72"/>
        <v>0</v>
      </c>
      <c r="O50" s="39">
        <f t="shared" si="72"/>
        <v>0</v>
      </c>
      <c r="P50" s="39">
        <f t="shared" si="72"/>
        <v>0</v>
      </c>
      <c r="Q50" s="39">
        <f t="shared" si="72"/>
        <v>0</v>
      </c>
      <c r="R50" s="39">
        <f t="shared" si="72"/>
        <v>0</v>
      </c>
      <c r="S50" s="39">
        <f t="shared" si="72"/>
        <v>0</v>
      </c>
      <c r="T50" s="39">
        <f t="shared" si="72"/>
        <v>0</v>
      </c>
      <c r="U50" s="39">
        <f t="shared" si="72"/>
        <v>0</v>
      </c>
      <c r="V50" s="39">
        <f t="shared" si="72"/>
        <v>0</v>
      </c>
      <c r="W50" s="39">
        <f t="shared" si="72"/>
        <v>0</v>
      </c>
      <c r="X50" s="39">
        <f t="shared" si="72"/>
        <v>0</v>
      </c>
      <c r="Y50" s="39">
        <f t="shared" si="72"/>
        <v>0</v>
      </c>
      <c r="Z50" s="39">
        <f t="shared" si="72"/>
        <v>0</v>
      </c>
      <c r="AA50" s="39">
        <f t="shared" si="72"/>
        <v>0</v>
      </c>
      <c r="AB50" s="39">
        <f t="shared" si="72"/>
        <v>0</v>
      </c>
      <c r="AC50" s="39">
        <f t="shared" si="72"/>
        <v>0</v>
      </c>
      <c r="AD50" s="39">
        <f t="shared" si="72"/>
        <v>0</v>
      </c>
      <c r="AE50" s="39">
        <f t="shared" si="72"/>
        <v>0</v>
      </c>
      <c r="AF50" s="39">
        <f t="shared" si="72"/>
        <v>0</v>
      </c>
      <c r="AG50" s="39">
        <f t="shared" si="72"/>
        <v>0</v>
      </c>
      <c r="AH50" s="39">
        <f t="shared" si="72"/>
        <v>0</v>
      </c>
      <c r="AI50" s="39">
        <f t="shared" si="72"/>
        <v>0</v>
      </c>
      <c r="AJ50" s="39">
        <f t="shared" si="72"/>
        <v>0</v>
      </c>
      <c r="AK50" s="39">
        <f t="shared" si="72"/>
        <v>0</v>
      </c>
      <c r="AL50" s="39">
        <f t="shared" si="72"/>
        <v>0</v>
      </c>
      <c r="AM50" s="39">
        <f t="shared" si="72"/>
        <v>0</v>
      </c>
      <c r="AN50" s="39">
        <f t="shared" si="72"/>
        <v>0</v>
      </c>
      <c r="AO50" s="39">
        <f t="shared" si="72"/>
        <v>0</v>
      </c>
      <c r="AP50" s="39">
        <f t="shared" si="72"/>
        <v>0</v>
      </c>
      <c r="AQ50" s="39">
        <f t="shared" si="72"/>
        <v>0</v>
      </c>
      <c r="AR50" s="39">
        <f t="shared" si="72"/>
        <v>0</v>
      </c>
      <c r="AS50" s="39">
        <f t="shared" si="72"/>
        <v>0</v>
      </c>
      <c r="AT50" s="39">
        <f t="shared" si="72"/>
        <v>0</v>
      </c>
      <c r="AU50" s="39">
        <f t="shared" si="72"/>
        <v>0</v>
      </c>
      <c r="AV50" s="39">
        <f t="shared" si="72"/>
        <v>0</v>
      </c>
      <c r="AW50" s="39">
        <f t="shared" si="72"/>
        <v>0</v>
      </c>
      <c r="AX50" s="39">
        <f t="shared" si="72"/>
        <v>0</v>
      </c>
      <c r="AY50" s="39">
        <f t="shared" si="72"/>
        <v>0</v>
      </c>
      <c r="AZ50" s="39">
        <f t="shared" si="72"/>
        <v>0</v>
      </c>
      <c r="BA50" s="39">
        <f t="shared" si="72"/>
        <v>0</v>
      </c>
      <c r="BB50" s="39">
        <f t="shared" si="72"/>
        <v>0</v>
      </c>
      <c r="BC50" s="39">
        <f t="shared" si="72"/>
        <v>0</v>
      </c>
      <c r="BD50" s="39">
        <f t="shared" si="72"/>
        <v>0</v>
      </c>
      <c r="BE50" s="39">
        <f t="shared" si="72"/>
        <v>0</v>
      </c>
      <c r="BF50" s="39">
        <f t="shared" si="72"/>
        <v>0</v>
      </c>
      <c r="BG50" s="39">
        <f t="shared" si="72"/>
        <v>0</v>
      </c>
      <c r="BH50" s="39">
        <f t="shared" si="72"/>
        <v>0</v>
      </c>
      <c r="BI50" s="39">
        <f t="shared" si="72"/>
        <v>0</v>
      </c>
      <c r="BJ50" s="39">
        <f t="shared" si="72"/>
        <v>0</v>
      </c>
      <c r="BK50" s="39">
        <f t="shared" si="72"/>
        <v>0</v>
      </c>
      <c r="BL50" s="39">
        <f t="shared" si="72"/>
        <v>0</v>
      </c>
      <c r="BM50" s="39">
        <f t="shared" si="72"/>
        <v>0</v>
      </c>
      <c r="BN50" s="39">
        <f t="shared" si="72"/>
        <v>0</v>
      </c>
      <c r="BO50" s="39">
        <f t="shared" si="72"/>
        <v>0</v>
      </c>
      <c r="BP50" s="39">
        <f t="shared" ref="BP50:CK52" si="74">SUMIFS(BP$53:BP$82,$B$53:$B$82,$B50,$C$53:$C$82,$C50)</f>
        <v>0</v>
      </c>
      <c r="BQ50" s="39">
        <f t="shared" si="73"/>
        <v>0</v>
      </c>
      <c r="BR50" s="39">
        <f t="shared" si="73"/>
        <v>0</v>
      </c>
      <c r="BS50" s="39">
        <f t="shared" si="73"/>
        <v>0</v>
      </c>
      <c r="BT50" s="39">
        <f t="shared" si="73"/>
        <v>0</v>
      </c>
      <c r="BU50" s="39">
        <f t="shared" si="73"/>
        <v>0</v>
      </c>
      <c r="BV50" s="39">
        <f t="shared" si="73"/>
        <v>0</v>
      </c>
      <c r="BW50" s="39">
        <f t="shared" si="73"/>
        <v>0</v>
      </c>
      <c r="BX50" s="39">
        <f t="shared" si="73"/>
        <v>0</v>
      </c>
      <c r="BY50" s="39">
        <f t="shared" si="73"/>
        <v>0</v>
      </c>
      <c r="BZ50" s="39">
        <f t="shared" si="73"/>
        <v>0</v>
      </c>
      <c r="CA50" s="39">
        <f t="shared" si="73"/>
        <v>0</v>
      </c>
      <c r="CB50" s="39">
        <f t="shared" si="73"/>
        <v>0</v>
      </c>
      <c r="CC50" s="39">
        <f t="shared" si="73"/>
        <v>0</v>
      </c>
      <c r="CD50" s="39">
        <f t="shared" si="73"/>
        <v>0</v>
      </c>
      <c r="CE50" s="39">
        <f t="shared" si="73"/>
        <v>0</v>
      </c>
      <c r="CF50" s="39">
        <f t="shared" si="73"/>
        <v>0</v>
      </c>
      <c r="CG50" s="39">
        <f t="shared" si="73"/>
        <v>0</v>
      </c>
      <c r="CH50" s="39">
        <f t="shared" si="73"/>
        <v>0</v>
      </c>
      <c r="CI50" s="39">
        <f t="shared" si="73"/>
        <v>0</v>
      </c>
      <c r="CJ50" s="39">
        <f t="shared" si="73"/>
        <v>0</v>
      </c>
      <c r="CK50" s="39">
        <f t="shared" si="73"/>
        <v>0</v>
      </c>
    </row>
    <row r="51" spans="1:89" s="31" customFormat="1" x14ac:dyDescent="0.25">
      <c r="A51" s="55"/>
      <c r="B51" s="30" t="s">
        <v>21</v>
      </c>
      <c r="C51" s="31" t="s">
        <v>18</v>
      </c>
      <c r="D51" s="39">
        <f>SUMIFS(D$53:D$82,$B$53:$B$82,$B51,$C$53:$C$82,$C51)</f>
        <v>0</v>
      </c>
      <c r="E51" s="39">
        <f t="shared" ref="E51:BO52" si="75">SUMIFS(E$53:E$82,$B$53:$B$82,$B51,$C$53:$C$82,$C51)</f>
        <v>0</v>
      </c>
      <c r="F51" s="39">
        <f t="shared" si="75"/>
        <v>0</v>
      </c>
      <c r="G51" s="39">
        <f t="shared" si="75"/>
        <v>0</v>
      </c>
      <c r="H51" s="39">
        <f t="shared" si="75"/>
        <v>0</v>
      </c>
      <c r="I51" s="39">
        <f t="shared" si="75"/>
        <v>0</v>
      </c>
      <c r="J51" s="39">
        <f t="shared" si="75"/>
        <v>0</v>
      </c>
      <c r="K51" s="39">
        <f t="shared" si="75"/>
        <v>0</v>
      </c>
      <c r="L51" s="39">
        <f t="shared" si="75"/>
        <v>0</v>
      </c>
      <c r="M51" s="39">
        <f t="shared" si="75"/>
        <v>0</v>
      </c>
      <c r="N51" s="39">
        <f t="shared" si="75"/>
        <v>0</v>
      </c>
      <c r="O51" s="39">
        <f t="shared" si="75"/>
        <v>0</v>
      </c>
      <c r="P51" s="39">
        <f t="shared" si="75"/>
        <v>0</v>
      </c>
      <c r="Q51" s="39">
        <f t="shared" si="75"/>
        <v>0</v>
      </c>
      <c r="R51" s="39">
        <f t="shared" si="75"/>
        <v>0</v>
      </c>
      <c r="S51" s="39">
        <f t="shared" si="75"/>
        <v>0</v>
      </c>
      <c r="T51" s="39">
        <f t="shared" si="75"/>
        <v>0</v>
      </c>
      <c r="U51" s="39">
        <f t="shared" si="75"/>
        <v>0</v>
      </c>
      <c r="V51" s="39">
        <f t="shared" si="75"/>
        <v>0</v>
      </c>
      <c r="W51" s="39">
        <f t="shared" si="75"/>
        <v>0</v>
      </c>
      <c r="X51" s="39">
        <f t="shared" si="75"/>
        <v>0</v>
      </c>
      <c r="Y51" s="39">
        <f t="shared" si="75"/>
        <v>0</v>
      </c>
      <c r="Z51" s="39">
        <f t="shared" si="75"/>
        <v>0</v>
      </c>
      <c r="AA51" s="39">
        <f t="shared" si="75"/>
        <v>0</v>
      </c>
      <c r="AB51" s="39">
        <f t="shared" si="75"/>
        <v>0</v>
      </c>
      <c r="AC51" s="39">
        <f t="shared" si="75"/>
        <v>0</v>
      </c>
      <c r="AD51" s="39">
        <f t="shared" si="75"/>
        <v>0</v>
      </c>
      <c r="AE51" s="39">
        <f t="shared" si="75"/>
        <v>0</v>
      </c>
      <c r="AF51" s="39">
        <f t="shared" si="75"/>
        <v>0</v>
      </c>
      <c r="AG51" s="39">
        <f t="shared" si="75"/>
        <v>0</v>
      </c>
      <c r="AH51" s="39">
        <f t="shared" si="75"/>
        <v>0</v>
      </c>
      <c r="AI51" s="39">
        <f t="shared" si="75"/>
        <v>0</v>
      </c>
      <c r="AJ51" s="39">
        <f t="shared" si="75"/>
        <v>0</v>
      </c>
      <c r="AK51" s="39">
        <f t="shared" si="75"/>
        <v>0</v>
      </c>
      <c r="AL51" s="39">
        <f t="shared" si="75"/>
        <v>0</v>
      </c>
      <c r="AM51" s="39">
        <f t="shared" si="75"/>
        <v>0</v>
      </c>
      <c r="AN51" s="39">
        <f t="shared" si="75"/>
        <v>0</v>
      </c>
      <c r="AO51" s="39">
        <f t="shared" si="75"/>
        <v>0</v>
      </c>
      <c r="AP51" s="39">
        <f t="shared" si="75"/>
        <v>0</v>
      </c>
      <c r="AQ51" s="39">
        <f t="shared" si="75"/>
        <v>0</v>
      </c>
      <c r="AR51" s="39">
        <f t="shared" si="75"/>
        <v>0</v>
      </c>
      <c r="AS51" s="39">
        <f t="shared" si="75"/>
        <v>0</v>
      </c>
      <c r="AT51" s="39">
        <f t="shared" si="75"/>
        <v>0</v>
      </c>
      <c r="AU51" s="39">
        <f t="shared" si="75"/>
        <v>0</v>
      </c>
      <c r="AV51" s="39">
        <f t="shared" si="75"/>
        <v>0</v>
      </c>
      <c r="AW51" s="39">
        <f t="shared" si="75"/>
        <v>0</v>
      </c>
      <c r="AX51" s="39">
        <f t="shared" si="75"/>
        <v>0</v>
      </c>
      <c r="AY51" s="39">
        <f t="shared" si="75"/>
        <v>0</v>
      </c>
      <c r="AZ51" s="39">
        <f t="shared" si="75"/>
        <v>0</v>
      </c>
      <c r="BA51" s="39">
        <f t="shared" si="75"/>
        <v>0</v>
      </c>
      <c r="BB51" s="39">
        <f t="shared" si="75"/>
        <v>0</v>
      </c>
      <c r="BC51" s="39">
        <f t="shared" si="75"/>
        <v>0</v>
      </c>
      <c r="BD51" s="39">
        <f t="shared" si="75"/>
        <v>0</v>
      </c>
      <c r="BE51" s="39">
        <f t="shared" si="75"/>
        <v>0</v>
      </c>
      <c r="BF51" s="39">
        <f t="shared" si="75"/>
        <v>0</v>
      </c>
      <c r="BG51" s="39">
        <f t="shared" si="75"/>
        <v>0</v>
      </c>
      <c r="BH51" s="39">
        <f t="shared" si="75"/>
        <v>0</v>
      </c>
      <c r="BI51" s="39">
        <f t="shared" si="75"/>
        <v>0</v>
      </c>
      <c r="BJ51" s="39">
        <f t="shared" si="75"/>
        <v>0</v>
      </c>
      <c r="BK51" s="39">
        <f t="shared" si="75"/>
        <v>0</v>
      </c>
      <c r="BL51" s="39">
        <f t="shared" si="75"/>
        <v>0</v>
      </c>
      <c r="BM51" s="39">
        <f t="shared" si="75"/>
        <v>0</v>
      </c>
      <c r="BN51" s="39">
        <f t="shared" si="75"/>
        <v>0</v>
      </c>
      <c r="BO51" s="39">
        <f t="shared" si="75"/>
        <v>0</v>
      </c>
      <c r="BP51" s="39">
        <f t="shared" si="74"/>
        <v>0</v>
      </c>
      <c r="BQ51" s="39">
        <f t="shared" si="73"/>
        <v>0</v>
      </c>
      <c r="BR51" s="39">
        <f t="shared" si="73"/>
        <v>0</v>
      </c>
      <c r="BS51" s="39">
        <f t="shared" si="73"/>
        <v>0</v>
      </c>
      <c r="BT51" s="39">
        <f t="shared" si="73"/>
        <v>0</v>
      </c>
      <c r="BU51" s="39">
        <f t="shared" si="73"/>
        <v>0</v>
      </c>
      <c r="BV51" s="39">
        <f t="shared" si="73"/>
        <v>0</v>
      </c>
      <c r="BW51" s="39">
        <f t="shared" si="73"/>
        <v>0</v>
      </c>
      <c r="BX51" s="39">
        <f t="shared" si="73"/>
        <v>0</v>
      </c>
      <c r="BY51" s="39">
        <f t="shared" si="73"/>
        <v>0</v>
      </c>
      <c r="BZ51" s="39">
        <f t="shared" si="73"/>
        <v>0</v>
      </c>
      <c r="CA51" s="39">
        <f t="shared" si="73"/>
        <v>0</v>
      </c>
      <c r="CB51" s="39">
        <f t="shared" si="73"/>
        <v>0</v>
      </c>
      <c r="CC51" s="39">
        <f t="shared" si="73"/>
        <v>0</v>
      </c>
      <c r="CD51" s="39">
        <f t="shared" si="73"/>
        <v>0</v>
      </c>
      <c r="CE51" s="39">
        <f t="shared" si="73"/>
        <v>0</v>
      </c>
      <c r="CF51" s="39">
        <f t="shared" si="73"/>
        <v>0</v>
      </c>
      <c r="CG51" s="39">
        <f t="shared" si="73"/>
        <v>0</v>
      </c>
      <c r="CH51" s="39">
        <f t="shared" si="73"/>
        <v>0</v>
      </c>
      <c r="CI51" s="39">
        <f t="shared" si="73"/>
        <v>0</v>
      </c>
      <c r="CJ51" s="39">
        <f t="shared" si="73"/>
        <v>0</v>
      </c>
      <c r="CK51" s="39">
        <f t="shared" si="73"/>
        <v>0</v>
      </c>
    </row>
    <row r="52" spans="1:89" s="31" customFormat="1" x14ac:dyDescent="0.25">
      <c r="A52" s="56"/>
      <c r="B52" s="30" t="s">
        <v>19</v>
      </c>
      <c r="C52" s="31" t="s">
        <v>18</v>
      </c>
      <c r="D52" s="39">
        <f>SUMIFS(D$53:D$82,$B$53:$B$82,$B52,$C$53:$C$82,$C52)</f>
        <v>0</v>
      </c>
      <c r="E52" s="39">
        <f t="shared" si="75"/>
        <v>0</v>
      </c>
      <c r="F52" s="39">
        <f t="shared" si="75"/>
        <v>0</v>
      </c>
      <c r="G52" s="39">
        <f t="shared" si="75"/>
        <v>0</v>
      </c>
      <c r="H52" s="39">
        <f t="shared" si="75"/>
        <v>0</v>
      </c>
      <c r="I52" s="39">
        <f t="shared" si="75"/>
        <v>0</v>
      </c>
      <c r="J52" s="39">
        <f t="shared" si="75"/>
        <v>0</v>
      </c>
      <c r="K52" s="39">
        <f t="shared" si="75"/>
        <v>0</v>
      </c>
      <c r="L52" s="39">
        <f t="shared" si="75"/>
        <v>0</v>
      </c>
      <c r="M52" s="39">
        <f t="shared" si="75"/>
        <v>0</v>
      </c>
      <c r="N52" s="39">
        <f t="shared" si="75"/>
        <v>0</v>
      </c>
      <c r="O52" s="39">
        <f t="shared" si="75"/>
        <v>0</v>
      </c>
      <c r="P52" s="39">
        <f t="shared" si="75"/>
        <v>0</v>
      </c>
      <c r="Q52" s="39">
        <f t="shared" si="75"/>
        <v>0</v>
      </c>
      <c r="R52" s="39">
        <f t="shared" si="75"/>
        <v>0</v>
      </c>
      <c r="S52" s="39">
        <f t="shared" si="75"/>
        <v>0</v>
      </c>
      <c r="T52" s="39">
        <f t="shared" si="75"/>
        <v>0</v>
      </c>
      <c r="U52" s="39">
        <f t="shared" si="75"/>
        <v>0</v>
      </c>
      <c r="V52" s="39">
        <f t="shared" si="75"/>
        <v>0</v>
      </c>
      <c r="W52" s="39">
        <f t="shared" si="75"/>
        <v>0</v>
      </c>
      <c r="X52" s="39">
        <f t="shared" si="75"/>
        <v>0</v>
      </c>
      <c r="Y52" s="39">
        <f t="shared" si="75"/>
        <v>0</v>
      </c>
      <c r="Z52" s="39">
        <f t="shared" si="75"/>
        <v>0</v>
      </c>
      <c r="AA52" s="39">
        <f t="shared" si="75"/>
        <v>0</v>
      </c>
      <c r="AB52" s="39">
        <f t="shared" si="75"/>
        <v>0</v>
      </c>
      <c r="AC52" s="39">
        <f t="shared" si="75"/>
        <v>0</v>
      </c>
      <c r="AD52" s="39">
        <f t="shared" si="75"/>
        <v>0</v>
      </c>
      <c r="AE52" s="39">
        <f t="shared" si="75"/>
        <v>0</v>
      </c>
      <c r="AF52" s="39">
        <f t="shared" si="75"/>
        <v>0</v>
      </c>
      <c r="AG52" s="39">
        <f t="shared" si="75"/>
        <v>0</v>
      </c>
      <c r="AH52" s="39">
        <f t="shared" si="75"/>
        <v>0</v>
      </c>
      <c r="AI52" s="39">
        <f t="shared" si="75"/>
        <v>0</v>
      </c>
      <c r="AJ52" s="39">
        <f t="shared" si="75"/>
        <v>0</v>
      </c>
      <c r="AK52" s="39">
        <f t="shared" si="75"/>
        <v>0</v>
      </c>
      <c r="AL52" s="39">
        <f t="shared" si="75"/>
        <v>0</v>
      </c>
      <c r="AM52" s="39">
        <f t="shared" si="75"/>
        <v>0</v>
      </c>
      <c r="AN52" s="39">
        <f t="shared" si="75"/>
        <v>0</v>
      </c>
      <c r="AO52" s="39">
        <f t="shared" si="75"/>
        <v>0</v>
      </c>
      <c r="AP52" s="39">
        <f t="shared" si="75"/>
        <v>0</v>
      </c>
      <c r="AQ52" s="39">
        <f t="shared" si="75"/>
        <v>0</v>
      </c>
      <c r="AR52" s="39">
        <f t="shared" si="75"/>
        <v>0</v>
      </c>
      <c r="AS52" s="39">
        <f t="shared" si="75"/>
        <v>0</v>
      </c>
      <c r="AT52" s="39">
        <f t="shared" si="75"/>
        <v>0</v>
      </c>
      <c r="AU52" s="39">
        <f t="shared" si="75"/>
        <v>0</v>
      </c>
      <c r="AV52" s="39">
        <f t="shared" si="75"/>
        <v>0</v>
      </c>
      <c r="AW52" s="39">
        <f t="shared" si="75"/>
        <v>0</v>
      </c>
      <c r="AX52" s="39">
        <f t="shared" si="75"/>
        <v>0</v>
      </c>
      <c r="AY52" s="39">
        <f t="shared" si="75"/>
        <v>0</v>
      </c>
      <c r="AZ52" s="39">
        <f t="shared" si="75"/>
        <v>0</v>
      </c>
      <c r="BA52" s="39">
        <f t="shared" si="75"/>
        <v>0</v>
      </c>
      <c r="BB52" s="39">
        <f t="shared" si="75"/>
        <v>0</v>
      </c>
      <c r="BC52" s="39">
        <f t="shared" si="75"/>
        <v>0</v>
      </c>
      <c r="BD52" s="39">
        <f t="shared" si="75"/>
        <v>0</v>
      </c>
      <c r="BE52" s="39">
        <f t="shared" si="75"/>
        <v>0</v>
      </c>
      <c r="BF52" s="39">
        <f t="shared" si="75"/>
        <v>0</v>
      </c>
      <c r="BG52" s="39">
        <f t="shared" si="75"/>
        <v>0</v>
      </c>
      <c r="BH52" s="39">
        <f t="shared" si="75"/>
        <v>0</v>
      </c>
      <c r="BI52" s="39">
        <f t="shared" si="75"/>
        <v>0</v>
      </c>
      <c r="BJ52" s="39">
        <f t="shared" si="75"/>
        <v>0</v>
      </c>
      <c r="BK52" s="39">
        <f t="shared" si="75"/>
        <v>0</v>
      </c>
      <c r="BL52" s="39">
        <f t="shared" si="75"/>
        <v>0</v>
      </c>
      <c r="BM52" s="39">
        <f t="shared" si="75"/>
        <v>0</v>
      </c>
      <c r="BN52" s="39">
        <f t="shared" si="75"/>
        <v>0</v>
      </c>
      <c r="BO52" s="39">
        <f t="shared" si="75"/>
        <v>0</v>
      </c>
      <c r="BP52" s="39">
        <f t="shared" si="74"/>
        <v>0</v>
      </c>
      <c r="BQ52" s="39">
        <f t="shared" si="73"/>
        <v>0</v>
      </c>
      <c r="BR52" s="39">
        <f t="shared" si="73"/>
        <v>0</v>
      </c>
      <c r="BS52" s="39">
        <f t="shared" si="73"/>
        <v>0</v>
      </c>
      <c r="BT52" s="39">
        <f t="shared" si="73"/>
        <v>0</v>
      </c>
      <c r="BU52" s="39">
        <f t="shared" si="73"/>
        <v>0</v>
      </c>
      <c r="BV52" s="39">
        <f t="shared" si="73"/>
        <v>0</v>
      </c>
      <c r="BW52" s="39">
        <f t="shared" si="73"/>
        <v>0</v>
      </c>
      <c r="BX52" s="39">
        <f t="shared" si="73"/>
        <v>0</v>
      </c>
      <c r="BY52" s="39">
        <f t="shared" si="73"/>
        <v>0</v>
      </c>
      <c r="BZ52" s="39">
        <f t="shared" si="73"/>
        <v>0</v>
      </c>
      <c r="CA52" s="39">
        <f t="shared" si="73"/>
        <v>0</v>
      </c>
      <c r="CB52" s="39">
        <f t="shared" si="73"/>
        <v>0</v>
      </c>
      <c r="CC52" s="39">
        <f t="shared" si="73"/>
        <v>0</v>
      </c>
      <c r="CD52" s="39">
        <f t="shared" si="73"/>
        <v>0</v>
      </c>
      <c r="CE52" s="39">
        <f t="shared" si="73"/>
        <v>0</v>
      </c>
      <c r="CF52" s="39">
        <f t="shared" si="73"/>
        <v>0</v>
      </c>
      <c r="CG52" s="39">
        <f t="shared" si="73"/>
        <v>0</v>
      </c>
      <c r="CH52" s="39">
        <f t="shared" si="73"/>
        <v>0</v>
      </c>
      <c r="CI52" s="39">
        <f t="shared" si="73"/>
        <v>0</v>
      </c>
      <c r="CJ52" s="39">
        <f t="shared" si="73"/>
        <v>0</v>
      </c>
      <c r="CK52" s="39">
        <f t="shared" si="73"/>
        <v>0</v>
      </c>
    </row>
    <row r="53" spans="1:89" x14ac:dyDescent="0.25">
      <c r="A53" s="14">
        <v>20001</v>
      </c>
      <c r="B53" s="29" t="s">
        <v>21</v>
      </c>
      <c r="C53" s="23" t="s">
        <v>17</v>
      </c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</row>
    <row r="54" spans="1:89" x14ac:dyDescent="0.25">
      <c r="A54" s="14">
        <v>20002</v>
      </c>
      <c r="B54" s="29" t="s">
        <v>21</v>
      </c>
      <c r="C54" s="23" t="s">
        <v>17</v>
      </c>
      <c r="E54" s="16"/>
      <c r="F54" s="16"/>
      <c r="G54" s="16"/>
      <c r="H54" s="16"/>
      <c r="I54" s="16"/>
      <c r="J54" s="16"/>
      <c r="K54" s="16"/>
      <c r="L54" s="16"/>
      <c r="M54" s="16"/>
      <c r="N54" s="35"/>
      <c r="O54" s="35"/>
      <c r="P54" s="16"/>
      <c r="Q54" s="16"/>
      <c r="R54" s="16"/>
      <c r="S54" s="16"/>
      <c r="T54" s="16"/>
      <c r="U54" s="16"/>
    </row>
    <row r="55" spans="1:89" x14ac:dyDescent="0.25">
      <c r="A55" s="14">
        <v>20003</v>
      </c>
      <c r="B55" s="29" t="s">
        <v>21</v>
      </c>
      <c r="C55" s="23" t="s">
        <v>17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1:89" x14ac:dyDescent="0.25">
      <c r="A56" s="14">
        <v>20004</v>
      </c>
      <c r="B56" s="29" t="s">
        <v>19</v>
      </c>
      <c r="C56" s="23" t="s">
        <v>17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</row>
    <row r="57" spans="1:89" x14ac:dyDescent="0.25">
      <c r="A57" s="14">
        <v>20005</v>
      </c>
      <c r="B57" s="29" t="s">
        <v>19</v>
      </c>
      <c r="C57" s="23" t="s">
        <v>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spans="1:89" x14ac:dyDescent="0.25">
      <c r="A58" s="14">
        <v>20006</v>
      </c>
      <c r="B58" s="29" t="s">
        <v>19</v>
      </c>
      <c r="C58" s="23" t="s">
        <v>17</v>
      </c>
      <c r="H58" s="23"/>
      <c r="I58" s="23"/>
      <c r="O58" s="23"/>
      <c r="P58" s="23"/>
    </row>
    <row r="59" spans="1:89" x14ac:dyDescent="0.25">
      <c r="A59" s="14">
        <v>20007</v>
      </c>
      <c r="B59" s="29" t="s">
        <v>21</v>
      </c>
      <c r="C59" s="23" t="s">
        <v>17</v>
      </c>
    </row>
    <row r="60" spans="1:89" x14ac:dyDescent="0.25">
      <c r="A60" s="14">
        <v>20008</v>
      </c>
      <c r="B60" s="29" t="s">
        <v>21</v>
      </c>
      <c r="C60" s="23" t="s">
        <v>17</v>
      </c>
      <c r="N60" s="23"/>
      <c r="O60" s="23"/>
    </row>
    <row r="61" spans="1:89" x14ac:dyDescent="0.25">
      <c r="A61" s="14">
        <v>20009</v>
      </c>
      <c r="B61" s="29" t="s">
        <v>21</v>
      </c>
      <c r="C61" s="23" t="s">
        <v>17</v>
      </c>
    </row>
    <row r="62" spans="1:89" x14ac:dyDescent="0.25">
      <c r="A62" s="14">
        <v>20010</v>
      </c>
      <c r="B62" s="29" t="s">
        <v>19</v>
      </c>
      <c r="C62" s="23" t="s">
        <v>17</v>
      </c>
    </row>
    <row r="63" spans="1:89" x14ac:dyDescent="0.25">
      <c r="A63" s="14">
        <v>20011</v>
      </c>
      <c r="B63" s="29" t="s">
        <v>21</v>
      </c>
      <c r="C63" s="23" t="s">
        <v>17</v>
      </c>
      <c r="F63" s="23"/>
      <c r="G63" s="23"/>
    </row>
    <row r="64" spans="1:89" x14ac:dyDescent="0.25">
      <c r="A64" s="14">
        <v>20012</v>
      </c>
      <c r="B64" s="29" t="s">
        <v>20</v>
      </c>
      <c r="C64" s="23" t="s">
        <v>17</v>
      </c>
    </row>
    <row r="65" spans="1:16" x14ac:dyDescent="0.25">
      <c r="A65" s="14">
        <v>20013</v>
      </c>
      <c r="B65" s="29" t="s">
        <v>20</v>
      </c>
      <c r="C65" s="23" t="s">
        <v>17</v>
      </c>
      <c r="I65" s="23"/>
      <c r="J65" s="23"/>
    </row>
    <row r="66" spans="1:16" x14ac:dyDescent="0.25">
      <c r="A66" s="14">
        <v>20014</v>
      </c>
      <c r="B66" s="29" t="s">
        <v>19</v>
      </c>
      <c r="C66" s="23" t="s">
        <v>17</v>
      </c>
    </row>
    <row r="67" spans="1:16" x14ac:dyDescent="0.25">
      <c r="A67" s="14">
        <v>20015</v>
      </c>
      <c r="B67" s="29" t="s">
        <v>20</v>
      </c>
      <c r="C67" s="23" t="s">
        <v>18</v>
      </c>
    </row>
    <row r="68" spans="1:16" x14ac:dyDescent="0.25">
      <c r="A68" s="14">
        <v>20016</v>
      </c>
      <c r="B68" s="29" t="s">
        <v>20</v>
      </c>
      <c r="C68" s="23" t="s">
        <v>18</v>
      </c>
      <c r="G68" s="23"/>
      <c r="H68" s="23"/>
    </row>
    <row r="69" spans="1:16" x14ac:dyDescent="0.25">
      <c r="A69" s="14">
        <v>20017</v>
      </c>
      <c r="B69" s="29" t="s">
        <v>20</v>
      </c>
      <c r="C69" s="23" t="s">
        <v>18</v>
      </c>
      <c r="K69" s="23"/>
      <c r="L69" s="23"/>
    </row>
    <row r="70" spans="1:16" x14ac:dyDescent="0.25">
      <c r="A70" s="14">
        <v>20018</v>
      </c>
      <c r="B70" s="29" t="s">
        <v>19</v>
      </c>
      <c r="C70" s="23" t="s">
        <v>18</v>
      </c>
    </row>
    <row r="71" spans="1:16" x14ac:dyDescent="0.25">
      <c r="A71" s="14">
        <v>20019</v>
      </c>
      <c r="B71" s="29" t="s">
        <v>21</v>
      </c>
      <c r="C71" s="23" t="s">
        <v>18</v>
      </c>
    </row>
    <row r="72" spans="1:16" x14ac:dyDescent="0.25">
      <c r="A72" s="14">
        <v>20020</v>
      </c>
      <c r="B72" s="29" t="s">
        <v>21</v>
      </c>
      <c r="C72" s="23" t="s">
        <v>18</v>
      </c>
    </row>
    <row r="73" spans="1:16" x14ac:dyDescent="0.25">
      <c r="A73" s="14">
        <v>20021</v>
      </c>
      <c r="B73" s="29" t="s">
        <v>20</v>
      </c>
      <c r="C73" s="23" t="s">
        <v>18</v>
      </c>
      <c r="G73" s="23"/>
      <c r="H73" s="23"/>
    </row>
    <row r="74" spans="1:16" x14ac:dyDescent="0.25">
      <c r="A74" s="14">
        <v>20022</v>
      </c>
      <c r="B74" s="29" t="s">
        <v>20</v>
      </c>
      <c r="C74" s="23" t="s">
        <v>18</v>
      </c>
    </row>
    <row r="75" spans="1:16" x14ac:dyDescent="0.25">
      <c r="A75" s="14">
        <v>20023</v>
      </c>
      <c r="B75" s="29" t="s">
        <v>19</v>
      </c>
      <c r="C75" s="23" t="s">
        <v>18</v>
      </c>
    </row>
    <row r="76" spans="1:16" x14ac:dyDescent="0.25">
      <c r="A76" s="14">
        <v>20024</v>
      </c>
      <c r="B76" s="29" t="s">
        <v>21</v>
      </c>
      <c r="C76" s="23" t="s">
        <v>18</v>
      </c>
      <c r="O76" s="23"/>
      <c r="P76" s="23"/>
    </row>
    <row r="77" spans="1:16" x14ac:dyDescent="0.25">
      <c r="A77" s="14">
        <v>20025</v>
      </c>
      <c r="B77" s="29" t="s">
        <v>19</v>
      </c>
      <c r="C77" s="23" t="s">
        <v>18</v>
      </c>
    </row>
    <row r="78" spans="1:16" x14ac:dyDescent="0.25">
      <c r="A78" s="14">
        <v>20026</v>
      </c>
      <c r="B78" s="29" t="s">
        <v>19</v>
      </c>
      <c r="C78" s="23" t="s">
        <v>18</v>
      </c>
      <c r="G78" s="23"/>
      <c r="H78" s="23"/>
    </row>
    <row r="79" spans="1:16" x14ac:dyDescent="0.25">
      <c r="A79" s="14">
        <v>20027</v>
      </c>
      <c r="B79" s="29" t="s">
        <v>19</v>
      </c>
      <c r="C79" s="23" t="s">
        <v>18</v>
      </c>
    </row>
    <row r="80" spans="1:16" x14ac:dyDescent="0.25">
      <c r="A80" s="14">
        <v>20028</v>
      </c>
      <c r="B80" s="29"/>
      <c r="C80" s="23"/>
    </row>
    <row r="81" spans="1:3" x14ac:dyDescent="0.25">
      <c r="A81" s="14">
        <v>20029</v>
      </c>
      <c r="B81" s="29"/>
      <c r="C81" s="23"/>
    </row>
    <row r="82" spans="1:3" x14ac:dyDescent="0.25">
      <c r="A82" s="14">
        <v>20030</v>
      </c>
      <c r="B82" s="29"/>
      <c r="C82" s="23"/>
    </row>
  </sheetData>
  <mergeCells count="4">
    <mergeCell ref="A37:A39"/>
    <mergeCell ref="A40:A42"/>
    <mergeCell ref="A47:A49"/>
    <mergeCell ref="A50:A52"/>
  </mergeCells>
  <pageMargins left="0.7" right="0.7" top="0.75" bottom="0.75" header="0.3" footer="0.3"/>
  <pageSetup paperSize="9" scale="71" orientation="landscape" r:id="rId1"/>
  <colBreaks count="1" manualBreakCount="1">
    <brk id="16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464A97-8BFD-499C-AE46-83C4EA3F84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473AE6-58EA-4483-BA75-FF2FBA4C0E2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94C584-4AAB-4B64-8188-315FD51E3EE4}">
  <ds:schemaRefs>
    <ds:schemaRef ds:uri="8fb9fcf7-a6bd-4cda-a801-5717a79e1e9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WeeklyReport</vt:lpstr>
      <vt:lpstr>FrameAvailability</vt:lpstr>
      <vt:lpstr>FrameAvailability!Zone_d_impression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revision/>
  <cp:lastPrinted>2018-09-21T12:14:41Z</cp:lastPrinted>
  <dcterms:created xsi:type="dcterms:W3CDTF">2017-12-12T16:13:35Z</dcterms:created>
  <dcterms:modified xsi:type="dcterms:W3CDTF">2020-04-01T14:22:15Z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