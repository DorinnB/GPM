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432C8FC-730B-4B3F-B1C9-3A6F5EA93F7F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<sst xmlns="http://schemas.openxmlformats.org/spreadsheetml/2006/main" count="163" uniqueCount="105">
  <si>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</si>
  <si>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</si>
  <si>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</si>
  <si>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</si>
  <si>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</si>
  <si>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</si>
  <si>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</si>
  <si>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</si>
  <si>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</si>
  <si>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</si>
  <si>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</si>
  <si>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</si>
  <si>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</si>
  <si>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</si>
  <si>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</si>
  <si>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</si>
  <si>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</si>
  <si>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</si>
  <si>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</si>
  <si>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</si>
  <si>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</si>
  <si>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</si>
  <si>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</si>
  <si>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</si>
  <si>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</si>
  <si>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</si>
  <si>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</si>
  <si>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</si>
  <si>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</si>
  <si>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</si>
  <si>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</si>
  <si>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</si>
  <si>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</si>
  <si>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</si>
  <si>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</si>
  <si>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</si>
  <si>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</si>
  <si>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</si>
  <si>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</si>
  <si>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</si>
  <si>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</si>
  <si>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</si>
  <si>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</si>
  <si>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</si>
  <si>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</si>
  <si>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</si>
  <si>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</si>
  <si>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</si>
  <si>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</si>
  <si>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</si>
  <si>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</si>
  <si>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</si>
  <si>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</si>
  <si>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</si>
  <si>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</si>
  <si>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</si>
  <si>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</si>
  <si>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</si>
  <si>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</si>
  <si>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</si>
  <si>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</si>
  <si>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</si>
  <si>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</si>
  <si>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</si>
  <si>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</si>
  <si>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</si>
  <si>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</si>
  <si>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d'Eprouvette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</si>
  <si>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</si>
  <si>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</si>
  <si>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</si>
  <si>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</si>
  <si>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</si>
  <si>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</si>
  <si>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</si>
  <si>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</si>
  <si>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</si>
  <si>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Essais de fatigue vibratoire en contrôle déformation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</si>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</sst>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104</v>
      </c>
      <c r="C1" s="141"/>
      <c r="D1" s="141"/>
      <c r="E1" s="141"/>
      <c r="F1" s="141"/>
    </row>
    <row r="2" spans="1:24" ht="16.5" customHeight="1" x14ac:dyDescent="0.2">
      <c r="B2" s="153" t="s">
        <v>103</v>
      </c>
      <c r="C2" s="140"/>
      <c r="D2" s="140"/>
      <c r="E2" s="140"/>
      <c r="F2" s="140"/>
      <c r="O2" s="155" t="s">
        <v>15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35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36</v>
      </c>
      <c r="F6" s="38" t="s">
        <v>37</v>
      </c>
    </row>
    <row r="7" spans="1:24" ht="14.45" customHeight="1" x14ac:dyDescent="0.2">
      <c r="B7" s="37"/>
      <c r="E7" s="3" t="s">
        <v>38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39</v>
      </c>
      <c r="F9" s="39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16</v>
      </c>
      <c r="B13" s="43" t="s">
        <v>17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62"/>
      <c r="D16" s="162"/>
      <c r="E16" s="162"/>
      <c r="F16" s="162"/>
      <c r="G16" s="162"/>
      <c r="H16" s="162"/>
    </row>
    <row r="17" spans="1:14" ht="12.75" customHeight="1" x14ac:dyDescent="0.2"/>
    <row r="18" spans="1:14" ht="18" customHeight="1" x14ac:dyDescent="0.2">
      <c r="A18" s="152" t="s">
        <v>79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30</v>
      </c>
      <c r="C20" s="163"/>
      <c r="D20" s="163"/>
      <c r="E20" s="163"/>
      <c r="F20" s="163"/>
      <c r="G20" s="163"/>
      <c r="H20" s="163"/>
    </row>
    <row r="21" spans="1:14" ht="12.75" customHeight="1" x14ac:dyDescent="0.2">
      <c r="A21" s="48"/>
      <c r="C21" s="163"/>
      <c r="D21" s="163"/>
      <c r="E21" s="163"/>
      <c r="F21" s="163"/>
      <c r="G21" s="163"/>
      <c r="H21" s="163"/>
    </row>
    <row r="22" spans="1:14" ht="12.75" customHeight="1" x14ac:dyDescent="0.2">
      <c r="A22" s="48"/>
      <c r="B22" s="51" t="s">
        <v>64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31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69</v>
      </c>
      <c r="M25" s="60" t="s">
        <v>70</v>
      </c>
      <c r="N25" s="59"/>
    </row>
    <row r="26" spans="1:14" ht="12.75" customHeight="1" x14ac:dyDescent="0.2">
      <c r="A26" s="49"/>
      <c r="B26" s="56" t="s">
        <v>71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78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65</v>
      </c>
      <c r="C32" s="53" t="s">
        <v>77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74</v>
      </c>
      <c r="C36" s="164"/>
      <c r="D36" s="164"/>
      <c r="E36" s="164"/>
      <c r="F36" s="164"/>
      <c r="G36" s="164"/>
    </row>
    <row r="37" spans="1:13" ht="12.75" customHeight="1" x14ac:dyDescent="0.2">
      <c r="A37" s="49"/>
      <c r="B37" s="56" t="s">
        <v>67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33</v>
      </c>
      <c r="C42" s="165" t="str">
        <f>CONCATENATE("Système hydraulique de ",K42," kN avec servovalve contrôlé par une boucle d'asservissement.")</f>
        <v>Système hydraulique de xxx kN avec servovalve contrôlé par une boucle d'asservissement.</v>
      </c>
      <c r="D42" s="165"/>
      <c r="E42" s="165"/>
      <c r="F42" s="165"/>
      <c r="G42" s="165"/>
      <c r="H42" s="165"/>
      <c r="K42" s="59" t="s">
        <v>19</v>
      </c>
      <c r="L42" s="62"/>
      <c r="M42" s="62"/>
    </row>
    <row r="43" spans="1:13" ht="12.75" customHeight="1" x14ac:dyDescent="0.2">
      <c r="A43" s="49"/>
      <c r="B43" s="56" t="s">
        <v>34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75</v>
      </c>
      <c r="C59" s="37"/>
      <c r="D59" s="37"/>
      <c r="E59" s="37"/>
      <c r="F59" s="38" t="s">
        <v>76</v>
      </c>
      <c r="G59" s="49"/>
    </row>
    <row r="60" spans="1:13" ht="12.75" customHeight="1" x14ac:dyDescent="0.2">
      <c r="A60" s="148" t="s">
        <v>100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101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102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80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81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82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85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86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87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88</v>
      </c>
      <c r="C20" s="84" t="s">
        <v>52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89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40</v>
      </c>
      <c r="B25" s="73"/>
      <c r="C25" s="94" t="s">
        <v>41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42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42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42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90</v>
      </c>
      <c r="B29" s="73"/>
      <c r="C29" s="77" t="s">
        <v>60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43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44</v>
      </c>
      <c r="B31" s="101" t="s">
        <v>61</v>
      </c>
      <c r="C31" s="87" t="s">
        <v>41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45</v>
      </c>
      <c r="B32" s="104" t="s">
        <v>62</v>
      </c>
      <c r="C32" s="77" t="s">
        <v>52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45</v>
      </c>
      <c r="B33" s="104" t="s">
        <v>63</v>
      </c>
      <c r="C33" s="77" t="s">
        <v>52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62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63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91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47</v>
      </c>
      <c r="B37" s="107" t="s">
        <v>53</v>
      </c>
      <c r="C37" s="77" t="s">
        <v>41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45</v>
      </c>
      <c r="B38" s="104" t="s">
        <v>55</v>
      </c>
      <c r="C38" s="77" t="s">
        <v>52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45</v>
      </c>
      <c r="B39" s="104" t="s">
        <v>56</v>
      </c>
      <c r="C39" s="77" t="s">
        <v>52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48</v>
      </c>
      <c r="B40" s="104" t="s">
        <v>59</v>
      </c>
      <c r="C40" s="77" t="s">
        <v>46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48</v>
      </c>
      <c r="B41" s="109" t="s">
        <v>58</v>
      </c>
      <c r="C41" s="110" t="s">
        <v>46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48</v>
      </c>
      <c r="B42" s="109" t="s">
        <v>57</v>
      </c>
      <c r="C42" s="110" t="s">
        <v>46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55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56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49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92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92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93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94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95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96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50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51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97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98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99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2019-02-25T10:33:25Z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