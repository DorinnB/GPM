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73A3AC8-4482-47AC-85C3-1A8EC1734277}" xr6:coauthVersionLast="45" xr6:coauthVersionMax="45" xr10:uidLastSave="{00000000-0000-0000-0000-000000000000}"/>
  <bookViews>
    <workbookView xWindow="28680" yWindow="-5490" windowWidth="38640" windowHeight="21240" xr2:uid="{00000000-000D-0000-FFFF-FFFF00000000}"/>
  </bookViews>
  <sheets>
    <sheet name="TempLine" sheetId="1" r:id="rId1"/>
    <sheet name="Data" sheetId="2" state="hidden" r:id="rId2"/>
  </sheets>
  <definedNames>
    <definedName name="_xlnm.Print_Area" localSheetId="0">TempLine!$A$1:$AA$37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7" i="1" l="1"/>
  <c r="U4" i="1"/>
  <c r="C36" i="1"/>
  <c r="A36" i="1"/>
  <c r="C35" i="1"/>
  <c r="A35" i="1"/>
  <c r="C34" i="1"/>
  <c r="A34" i="1"/>
  <c r="C33" i="1"/>
  <c r="A33" i="1"/>
  <c r="C32" i="1"/>
  <c r="A32" i="1"/>
  <c r="C31" i="1"/>
  <c r="A31" i="1"/>
  <c r="C30" i="1"/>
  <c r="A30" i="1"/>
  <c r="C29" i="1"/>
  <c r="A29" i="1"/>
  <c r="C28" i="1"/>
  <c r="A28" i="1"/>
  <c r="C27" i="1"/>
  <c r="A27" i="1"/>
  <c r="C26" i="1"/>
  <c r="A26" i="1"/>
  <c r="C25" i="1"/>
  <c r="A25" i="1"/>
  <c r="AA36" i="1"/>
  <c r="P36" i="1"/>
  <c r="M36" i="1"/>
  <c r="J36" i="1"/>
  <c r="G36" i="1"/>
  <c r="AA35" i="1"/>
  <c r="P35" i="1"/>
  <c r="M35" i="1"/>
  <c r="J35" i="1"/>
  <c r="G35" i="1"/>
  <c r="AA34" i="1"/>
  <c r="P34" i="1"/>
  <c r="M34" i="1"/>
  <c r="J34" i="1"/>
  <c r="G34" i="1"/>
  <c r="AA33" i="1"/>
  <c r="P33" i="1"/>
  <c r="M33" i="1"/>
  <c r="J33" i="1"/>
  <c r="G33" i="1"/>
  <c r="AA32" i="1"/>
  <c r="P32" i="1"/>
  <c r="M32" i="1"/>
  <c r="J32" i="1"/>
  <c r="G32" i="1"/>
  <c r="AA31" i="1"/>
  <c r="P31" i="1"/>
  <c r="M31" i="1"/>
  <c r="J31" i="1"/>
  <c r="G31" i="1"/>
  <c r="AA30" i="1"/>
  <c r="P30" i="1"/>
  <c r="M30" i="1"/>
  <c r="J30" i="1"/>
  <c r="G30" i="1"/>
  <c r="AA29" i="1"/>
  <c r="P29" i="1"/>
  <c r="M29" i="1"/>
  <c r="J29" i="1"/>
  <c r="G29" i="1"/>
  <c r="AA28" i="1"/>
  <c r="P28" i="1"/>
  <c r="M28" i="1"/>
  <c r="J28" i="1"/>
  <c r="G28" i="1"/>
  <c r="AA27" i="1"/>
  <c r="P27" i="1"/>
  <c r="M27" i="1"/>
  <c r="J27" i="1"/>
  <c r="G27" i="1"/>
  <c r="AA26" i="1"/>
  <c r="P26" i="1"/>
  <c r="M26" i="1"/>
  <c r="J26" i="1"/>
  <c r="G26" i="1"/>
  <c r="AA25" i="1"/>
  <c r="E17" i="1" l="1"/>
</calcChain>
</file>

<file path=xl/sharedStrings.xml><?xml version="1.0" encoding="utf-8"?>
<sst xmlns="http://schemas.openxmlformats.org/spreadsheetml/2006/main" count="58" uniqueCount="44">
  <si>
    <t>Yes</t>
  </si>
  <si>
    <t>Temperature Line Calibration Form</t>
  </si>
  <si>
    <t>Negativ Tol</t>
  </si>
  <si>
    <t>Positiv Tol</t>
  </si>
  <si>
    <t>Frame</t>
  </si>
  <si>
    <t>Id Calibrateur</t>
  </si>
  <si>
    <t>Procédure</t>
  </si>
  <si>
    <t>Revised</t>
  </si>
  <si>
    <t xml:space="preserve"> </t>
  </si>
  <si>
    <r>
      <t xml:space="preserve">Date </t>
    </r>
    <r>
      <rPr>
        <sz val="9"/>
        <color rgb="FF8497B0"/>
        <rFont val="Arial"/>
        <family val="2"/>
      </rPr>
      <t>cal</t>
    </r>
  </si>
  <si>
    <t>Technician</t>
  </si>
  <si>
    <t>3.2.1</t>
  </si>
  <si>
    <t>T/C Type</t>
  </si>
  <si>
    <t>Convertors (Top - Strap - Bot - Spare)</t>
  </si>
  <si>
    <r>
      <rPr>
        <sz val="14"/>
        <color rgb="FF8497B0"/>
        <rFont val="Arial"/>
        <family val="2"/>
      </rPr>
      <t xml:space="preserve">Date </t>
    </r>
    <r>
      <rPr>
        <sz val="9"/>
        <color rgb="FF8497B0"/>
        <rFont val="Arial"/>
        <family val="2"/>
      </rPr>
      <t>due</t>
    </r>
  </si>
  <si>
    <t>Checker</t>
  </si>
  <si>
    <t>Temp. Line</t>
  </si>
  <si>
    <t>K</t>
  </si>
  <si>
    <t>Tests Conditions</t>
  </si>
  <si>
    <t>Lab Temp. (°C)</t>
  </si>
  <si>
    <t>Lab Humidiy (%HR)</t>
  </si>
  <si>
    <t>Validity</t>
  </si>
  <si>
    <t>Before any Adjustment ?</t>
  </si>
  <si>
    <t>Range</t>
  </si>
  <si>
    <t>Cancel previous Cal ?</t>
  </si>
  <si>
    <t>Compliant</t>
  </si>
  <si>
    <t>No</t>
  </si>
  <si>
    <t>Comments:</t>
  </si>
  <si>
    <t>Value</t>
  </si>
  <si>
    <t>Nominal (*)</t>
  </si>
  <si>
    <t>Nominal</t>
  </si>
  <si>
    <t>Top</t>
  </si>
  <si>
    <t>Error</t>
  </si>
  <si>
    <t>Strap</t>
  </si>
  <si>
    <t>Bot</t>
  </si>
  <si>
    <t>Spare</t>
  </si>
  <si>
    <t>(mV)</t>
  </si>
  <si>
    <t>(°C)</t>
  </si>
  <si>
    <t>(%)</t>
  </si>
  <si>
    <t>(*) Cold junction compensation</t>
  </si>
  <si>
    <t>Red highlighted cells are out of spec. data</t>
  </si>
  <si>
    <t>R</t>
  </si>
  <si>
    <t>S</t>
  </si>
  <si>
    <t>Click here to save the document.
Don't forget to upload it on GPM right after.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</si>
</sst>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mmm\-yy;@"/>
    <numFmt numFmtId="165" formatCode="[$-409]dd\-mmm\-yy;@"/>
    <numFmt numFmtId="166" formatCode="yyyy\-mm\-dd"/>
    <numFmt numFmtId="167" formatCode="0.0"/>
    <numFmt numFmtId="168" formatCode="0.000"/>
  </numFmts>
  <fonts count="23" x14ac:knownFonts="1">
    <font>
      <sz val="11"/>
      <color rgb="FF000000"/>
      <name val="Calibri"/>
    </font>
    <font>
      <sz val="10"/>
      <color rgb="FF000000"/>
      <name val="MS Sans Serif"/>
    </font>
    <font>
      <sz val="10"/>
      <color rgb="FF223962"/>
      <name val="Arial"/>
      <family val="2"/>
    </font>
    <font>
      <sz val="14"/>
      <color rgb="FF44546A"/>
      <name val="Arial"/>
      <family val="2"/>
    </font>
    <font>
      <sz val="14"/>
      <color rgb="FF8497B0"/>
      <name val="Arial"/>
      <family val="2"/>
    </font>
    <font>
      <sz val="9"/>
      <color rgb="FF8497B0"/>
      <name val="Arial"/>
      <family val="2"/>
    </font>
    <font>
      <b/>
      <sz val="12"/>
      <color rgb="FF203764"/>
      <name val="Arial"/>
      <family val="2"/>
    </font>
    <font>
      <b/>
      <sz val="12"/>
      <color rgb="FF223962"/>
      <name val="Arial"/>
      <family val="2"/>
    </font>
    <font>
      <sz val="14"/>
      <color theme="0" tint="-0.499984740745262"/>
      <name val="Arial"/>
      <family val="2"/>
    </font>
    <font>
      <b/>
      <sz val="12"/>
      <color rgb="FFFFFFFF"/>
      <name val="Arial"/>
      <family val="2"/>
    </font>
    <font>
      <sz val="12"/>
      <color rgb="FF000000"/>
      <name val="MS Sans Serif"/>
    </font>
    <font>
      <sz val="12"/>
      <color rgb="FF8497B0"/>
      <name val="Arial"/>
      <family val="2"/>
    </font>
    <font>
      <sz val="12"/>
      <color rgb="FF223962"/>
      <name val="Arial"/>
      <family val="2"/>
    </font>
    <font>
      <b/>
      <sz val="12"/>
      <color rgb="FF203764"/>
      <name val="Calibri"/>
      <family val="2"/>
      <scheme val="minor"/>
    </font>
    <font>
      <b/>
      <sz val="10"/>
      <color rgb="FF203764"/>
      <name val="Arial"/>
      <family val="2"/>
    </font>
    <font>
      <sz val="12"/>
      <color theme="0" tint="-0.249977111117893"/>
      <name val="MS Sans Serif"/>
    </font>
    <font>
      <sz val="10"/>
      <color rgb="FF8497B0"/>
      <name val="Arial"/>
      <family val="2"/>
    </font>
    <font>
      <sz val="9"/>
      <color rgb="FFC00000"/>
      <name val="Arial"/>
      <family val="2"/>
    </font>
    <font>
      <sz val="10"/>
      <name val="MS Sans Serif"/>
    </font>
    <font>
      <u/>
      <sz val="11"/>
      <color theme="10"/>
      <name val="Calibri"/>
    </font>
    <font>
      <u/>
      <sz val="20"/>
      <color theme="10"/>
      <name val="Calibri"/>
      <family val="2"/>
      <scheme val="minor"/>
    </font>
    <font>
      <u/>
      <sz val="16"/>
      <color theme="10"/>
      <name val="Calibri"/>
      <family val="2"/>
    </font>
    <font>
      <u/>
      <sz val="20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none"/>
    </fill>
    <fill>
      <patternFill patternType="solid">
        <fgColor rgb="FFC04CC0"/>
        <bgColor rgb="FFFFFFFF"/>
      </patternFill>
    </fill>
  </fills>
  <borders count="18">
    <border>
      <left/>
      <right/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 diagonalUp="1">
      <left style="thin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medium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</borders>
  <cellStyleXfs count="4">
    <xf numFmtId="0" fontId="0" fillId="0" borderId="0"/>
    <xf numFmtId="0" fontId="1" fillId="2" borderId="0"/>
    <xf numFmtId="0" fontId="18" fillId="2" borderId="0"/>
    <xf numFmtId="0" fontId="19" fillId="0" borderId="0" applyNumberFormat="0" applyFill="0" applyBorder="0" applyAlignment="0" applyProtection="0"/>
  </cellStyleXfs>
  <cellXfs count="68">
    <xf numFmtId="0" fontId="0" fillId="2" borderId="0" xfId="0" applyFill="1"/>
    <xf numFmtId="0" fontId="2" fillId="2" borderId="0" xfId="1" applyFont="1"/>
    <xf numFmtId="0" fontId="3" fillId="2" borderId="0" xfId="1" applyFont="1" applyAlignment="1">
      <alignment horizontal="centerContinuous" vertical="center" wrapText="1"/>
    </xf>
    <xf numFmtId="0" fontId="2" fillId="2" borderId="0" xfId="1" applyFont="1" applyAlignment="1">
      <alignment horizontal="centerContinuous" vertical="center" wrapText="1"/>
    </xf>
    <xf numFmtId="0" fontId="2" fillId="2" borderId="0" xfId="1" applyFont="1" applyAlignment="1">
      <alignment horizontal="center" vertical="center" wrapText="1"/>
    </xf>
    <xf numFmtId="0" fontId="1" fillId="2" borderId="0" xfId="1"/>
    <xf numFmtId="0" fontId="4" fillId="2" borderId="0" xfId="1" applyFont="1" applyAlignment="1">
      <alignment horizontal="centerContinuous"/>
    </xf>
    <xf numFmtId="0" fontId="2" fillId="2" borderId="0" xfId="1" applyFont="1" applyAlignment="1">
      <alignment horizontal="centerContinuous"/>
    </xf>
    <xf numFmtId="0" fontId="7" fillId="2" borderId="0" xfId="1" applyFont="1" applyAlignment="1">
      <alignment horizontal="center" shrinkToFit="1"/>
    </xf>
    <xf numFmtId="0" fontId="9" fillId="3" borderId="0" xfId="1" applyFont="1" applyFill="1" applyAlignment="1">
      <alignment horizontal="centerContinuous" vertical="center"/>
    </xf>
    <xf numFmtId="0" fontId="10" fillId="2" borderId="0" xfId="1" applyFont="1"/>
    <xf numFmtId="0" fontId="11" fillId="2" borderId="0" xfId="1" applyFont="1"/>
    <xf numFmtId="0" fontId="11" fillId="2" borderId="0" xfId="1" applyFont="1" applyAlignment="1">
      <alignment horizontal="centerContinuous"/>
    </xf>
    <xf numFmtId="0" fontId="12" fillId="2" borderId="0" xfId="1" applyFont="1" applyAlignment="1">
      <alignment shrinkToFit="1"/>
    </xf>
    <xf numFmtId="0" fontId="10" fillId="2" borderId="0" xfId="1" applyFont="1" applyAlignment="1">
      <alignment shrinkToFit="1"/>
    </xf>
    <xf numFmtId="0" fontId="6" fillId="2" borderId="0" xfId="1" applyFont="1"/>
    <xf numFmtId="0" fontId="11" fillId="2" borderId="0" xfId="1" applyFont="1" applyAlignment="1">
      <alignment horizontal="left"/>
    </xf>
    <xf numFmtId="0" fontId="6" fillId="2" borderId="0" xfId="1" applyFont="1" applyAlignment="1">
      <alignment horizontal="centerContinuous" shrinkToFit="1"/>
    </xf>
    <xf numFmtId="0" fontId="14" fillId="2" borderId="1" xfId="1" applyFont="1" applyBorder="1" applyAlignment="1">
      <alignment horizontal="centerContinuous" shrinkToFit="1"/>
    </xf>
    <xf numFmtId="0" fontId="14" fillId="2" borderId="2" xfId="1" applyFont="1" applyBorder="1" applyAlignment="1">
      <alignment horizontal="centerContinuous" shrinkToFit="1"/>
    </xf>
    <xf numFmtId="0" fontId="14" fillId="2" borderId="3" xfId="1" applyFont="1" applyBorder="1" applyAlignment="1">
      <alignment horizontal="centerContinuous" shrinkToFit="1"/>
    </xf>
    <xf numFmtId="0" fontId="14" fillId="2" borderId="4" xfId="1" applyFont="1" applyBorder="1" applyAlignment="1">
      <alignment horizontal="centerContinuous" shrinkToFit="1"/>
    </xf>
    <xf numFmtId="0" fontId="14" fillId="2" borderId="5" xfId="1" applyFont="1" applyBorder="1" applyAlignment="1">
      <alignment horizontal="centerContinuous" shrinkToFit="1"/>
    </xf>
    <xf numFmtId="0" fontId="14" fillId="2" borderId="6" xfId="1" applyFont="1" applyBorder="1" applyAlignment="1">
      <alignment horizontal="centerContinuous" shrinkToFit="1"/>
    </xf>
    <xf numFmtId="0" fontId="12" fillId="2" borderId="0" xfId="1" applyFont="1"/>
    <xf numFmtId="0" fontId="11" fillId="2" borderId="10" xfId="1" applyFont="1" applyBorder="1" applyAlignment="1">
      <alignment horizontal="center"/>
    </xf>
    <xf numFmtId="0" fontId="15" fillId="2" borderId="0" xfId="1" applyFont="1"/>
    <xf numFmtId="2" fontId="16" fillId="2" borderId="14" xfId="1" applyNumberFormat="1" applyFont="1" applyBorder="1" applyAlignment="1">
      <alignment horizontal="center"/>
    </xf>
    <xf numFmtId="167" fontId="10" fillId="2" borderId="0" xfId="1" applyNumberFormat="1" applyFont="1"/>
    <xf numFmtId="2" fontId="16" fillId="2" borderId="6" xfId="1" applyNumberFormat="1" applyFont="1" applyBorder="1" applyAlignment="1">
      <alignment horizontal="center"/>
    </xf>
    <xf numFmtId="0" fontId="5" fillId="2" borderId="0" xfId="1" applyFont="1" applyAlignment="1">
      <alignment horizontal="left"/>
    </xf>
    <xf numFmtId="0" fontId="10" fillId="2" borderId="0" xfId="1" applyFont="1" applyAlignment="1">
      <alignment horizontal="centerContinuous"/>
    </xf>
    <xf numFmtId="0" fontId="17" fillId="2" borderId="0" xfId="1" applyFont="1" applyAlignment="1">
      <alignment horizontal="left"/>
    </xf>
    <xf numFmtId="0" fontId="18" fillId="2" borderId="0" xfId="2"/>
    <xf numFmtId="168" fontId="11" fillId="2" borderId="0" xfId="1" applyNumberFormat="1" applyFont="1"/>
    <xf numFmtId="2" fontId="11" fillId="2" borderId="0" xfId="1" applyNumberFormat="1" applyFont="1"/>
    <xf numFmtId="2" fontId="18" fillId="2" borderId="0" xfId="2" applyNumberFormat="1"/>
    <xf numFmtId="0" fontId="20" fillId="0" borderId="0" xfId="3" quotePrefix="1" applyFont="1" applyAlignment="1">
      <alignment vertical="center" wrapText="1"/>
    </xf>
    <xf numFmtId="0" fontId="21" fillId="0" borderId="0" xfId="3" quotePrefix="1" applyFont="1" applyAlignment="1">
      <alignment vertical="center" wrapText="1"/>
    </xf>
    <xf numFmtId="0" fontId="22" fillId="2" borderId="0" xfId="3" applyFont="1" applyFill="1" applyAlignment="1">
      <alignment horizontal="center" vertical="center" wrapText="1"/>
    </xf>
    <xf numFmtId="0" fontId="22" fillId="2" borderId="0" xfId="3" applyFont="1" applyFill="1" applyAlignment="1">
      <alignment horizontal="center" vertical="center"/>
    </xf>
    <xf numFmtId="167" fontId="6" fillId="2" borderId="15" xfId="1" applyNumberFormat="1" applyFont="1" applyBorder="1" applyAlignment="1">
      <alignment horizontal="center"/>
    </xf>
    <xf numFmtId="167" fontId="6" fillId="2" borderId="17" xfId="1" applyNumberFormat="1" applyFont="1" applyBorder="1" applyAlignment="1">
      <alignment horizontal="center"/>
    </xf>
    <xf numFmtId="168" fontId="11" fillId="2" borderId="11" xfId="1" applyNumberFormat="1" applyFont="1" applyBorder="1" applyAlignment="1">
      <alignment horizontal="center"/>
    </xf>
    <xf numFmtId="168" fontId="11" fillId="2" borderId="12" xfId="1" applyNumberFormat="1" applyFont="1" applyBorder="1" applyAlignment="1">
      <alignment horizontal="center"/>
    </xf>
    <xf numFmtId="2" fontId="11" fillId="2" borderId="11" xfId="1" applyNumberFormat="1" applyFont="1" applyBorder="1" applyAlignment="1">
      <alignment horizontal="center"/>
    </xf>
    <xf numFmtId="2" fontId="11" fillId="2" borderId="12" xfId="1" applyNumberFormat="1" applyFont="1" applyBorder="1" applyAlignment="1">
      <alignment horizontal="center"/>
    </xf>
    <xf numFmtId="167" fontId="6" fillId="2" borderId="11" xfId="1" applyNumberFormat="1" applyFont="1" applyBorder="1" applyAlignment="1">
      <alignment horizontal="center"/>
    </xf>
    <xf numFmtId="167" fontId="6" fillId="2" borderId="13" xfId="1" applyNumberFormat="1" applyFont="1" applyBorder="1" applyAlignment="1">
      <alignment horizontal="center"/>
    </xf>
    <xf numFmtId="168" fontId="11" fillId="2" borderId="15" xfId="1" applyNumberFormat="1" applyFont="1" applyBorder="1" applyAlignment="1">
      <alignment horizontal="center"/>
    </xf>
    <xf numFmtId="168" fontId="11" fillId="2" borderId="16" xfId="1" applyNumberFormat="1" applyFont="1" applyBorder="1" applyAlignment="1">
      <alignment horizontal="center"/>
    </xf>
    <xf numFmtId="2" fontId="11" fillId="2" borderId="15" xfId="1" applyNumberFormat="1" applyFont="1" applyBorder="1" applyAlignment="1">
      <alignment horizontal="center"/>
    </xf>
    <xf numFmtId="2" fontId="11" fillId="2" borderId="16" xfId="1" applyNumberFormat="1" applyFont="1" applyBorder="1" applyAlignment="1">
      <alignment horizontal="center"/>
    </xf>
    <xf numFmtId="0" fontId="6" fillId="2" borderId="0" xfId="1" applyFont="1" applyAlignment="1">
      <alignment horizontal="left" vertical="top" shrinkToFit="1"/>
    </xf>
    <xf numFmtId="168" fontId="11" fillId="2" borderId="7" xfId="1" applyNumberFormat="1" applyFont="1" applyBorder="1" applyAlignment="1">
      <alignment horizontal="center"/>
    </xf>
    <xf numFmtId="168" fontId="11" fillId="2" borderId="8" xfId="1" applyNumberFormat="1" applyFont="1" applyBorder="1" applyAlignment="1">
      <alignment horizontal="center"/>
    </xf>
    <xf numFmtId="2" fontId="11" fillId="2" borderId="7" xfId="1" applyNumberFormat="1" applyFont="1" applyBorder="1" applyAlignment="1">
      <alignment horizontal="center"/>
    </xf>
    <xf numFmtId="2" fontId="11" fillId="2" borderId="8" xfId="1" applyNumberFormat="1" applyFont="1" applyBorder="1" applyAlignment="1">
      <alignment horizontal="center"/>
    </xf>
    <xf numFmtId="167" fontId="6" fillId="2" borderId="7" xfId="1" applyNumberFormat="1" applyFont="1" applyBorder="1" applyAlignment="1">
      <alignment horizontal="center"/>
    </xf>
    <xf numFmtId="167" fontId="6" fillId="2" borderId="9" xfId="1" applyNumberFormat="1" applyFont="1" applyBorder="1" applyAlignment="1">
      <alignment horizontal="center"/>
    </xf>
    <xf numFmtId="167" fontId="6" fillId="2" borderId="0" xfId="1" applyNumberFormat="1" applyFont="1" applyAlignment="1">
      <alignment horizontal="center" vertical="center" shrinkToFit="1"/>
    </xf>
    <xf numFmtId="1" fontId="6" fillId="2" borderId="0" xfId="1" applyNumberFormat="1" applyFont="1" applyAlignment="1">
      <alignment horizontal="center" vertical="center" shrinkToFit="1"/>
    </xf>
    <xf numFmtId="0" fontId="6" fillId="2" borderId="0" xfId="1" applyFont="1" applyAlignment="1">
      <alignment horizontal="center" shrinkToFit="1"/>
    </xf>
    <xf numFmtId="0" fontId="13" fillId="2" borderId="0" xfId="1" applyFont="1" applyAlignment="1">
      <alignment horizontal="center" shrinkToFit="1"/>
    </xf>
    <xf numFmtId="0" fontId="8" fillId="2" borderId="0" xfId="1" applyFont="1" applyAlignment="1">
      <alignment vertical="top" textRotation="90"/>
    </xf>
    <xf numFmtId="164" fontId="6" fillId="2" borderId="0" xfId="1" applyNumberFormat="1" applyFont="1" applyAlignment="1">
      <alignment horizontal="center" shrinkToFit="1"/>
    </xf>
    <xf numFmtId="165" fontId="6" fillId="2" borderId="0" xfId="1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</cellXfs>
  <cellStyles count="4">
    <cellStyle name="Lien hypertexte" xfId="3" builtinId="8"/>
    <cellStyle name="Normal" xfId="0" builtinId="0"/>
    <cellStyle name="Normal 2" xfId="2" xr:uid="{AC0C4FA1-C359-456A-BBF9-24A319609E75}"/>
    <cellStyle name="Normal 3" xfId="1" xr:uid="{4B1F5F90-A09D-45C2-B9D9-BBED6BF1C065}"/>
  </cellStyles>
  <dxfs count="2">
    <dxf>
      <font>
        <b/>
        <i val="0"/>
        <color rgb="FFC00000"/>
      </font>
      <numFmt numFmtId="2" formatCode="0.00"/>
    </dxf>
    <dxf>
      <font>
        <color rgb="FFC00000"/>
      </font>
      <fill>
        <patternFill patternType="none">
          <bgColor auto="1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66252</xdr:colOff>
      <xdr:row>0</xdr:row>
      <xdr:rowOff>0</xdr:rowOff>
    </xdr:from>
    <xdr:ext cx="381430" cy="1938130"/>
    <xdr:pic>
      <xdr:nvPicPr>
        <xdr:cNvPr id="6" name="Image 5">
          <a:extLst>
            <a:ext uri="{FF2B5EF4-FFF2-40B4-BE49-F238E27FC236}">
              <a16:creationId xmlns:a16="http://schemas.microsoft.com/office/drawing/2014/main" id="{596CDEE2-C3E0-4EB8-9B57-E051B077A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781377" y="0"/>
          <a:ext cx="381430" cy="193813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0</xdr:row>
      <xdr:rowOff>0</xdr:rowOff>
    </xdr:from>
    <xdr:to>
      <xdr:col>2</xdr:col>
      <xdr:colOff>10377</xdr:colOff>
      <xdr:row>2</xdr:row>
      <xdr:rowOff>136009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3770EC19-27E5-464F-8E15-16786C2C6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05727" cy="898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66252</xdr:colOff>
      <xdr:row>0</xdr:row>
      <xdr:rowOff>0</xdr:rowOff>
    </xdr:from>
    <xdr:ext cx="381430" cy="1938130"/>
    <xdr:pic>
      <xdr:nvPicPr>
        <xdr:cNvPr id="9" name="Image 8">
          <a:extLst>
            <a:ext uri="{FF2B5EF4-FFF2-40B4-BE49-F238E27FC236}">
              <a16:creationId xmlns:a16="http://schemas.microsoft.com/office/drawing/2014/main" id="{88EE0578-DA7E-49AF-9BA9-A04320315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781377" y="0"/>
          <a:ext cx="381430" cy="193813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0</xdr:row>
      <xdr:rowOff>0</xdr:rowOff>
    </xdr:from>
    <xdr:to>
      <xdr:col>2</xdr:col>
      <xdr:colOff>11205</xdr:colOff>
      <xdr:row>2</xdr:row>
      <xdr:rowOff>136009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470F14A-DFCA-4BB7-AB6A-6D4B2DD0A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06555" cy="898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L37"/>
  <sheetViews>
    <sheetView tabSelected="1" view="pageBreakPreview" topLeftCell="A2" zoomScale="115" zoomScaleNormal="115" zoomScaleSheetLayoutView="115" workbookViewId="0">
      <selection activeCell="D2" sqref="D2"/>
    </sheetView>
  </sheetViews>
  <sheetFormatPr baseColWidth="10" defaultColWidth="11.42578125" defaultRowHeight="15" x14ac:dyDescent="0.25"/>
  <cols>
    <col min="1" max="16" width="6.7109375" style="1" customWidth="1"/>
    <col min="17" max="17" width="1.28515625" style="1" customWidth="1"/>
    <col min="18" max="18" width="10.85546875" style="1" hidden="1" customWidth="1"/>
    <col min="19" max="26" width="10.85546875" style="5" hidden="1" customWidth="1"/>
    <col min="27" max="27" width="0" style="5" hidden="1" customWidth="1"/>
    <col min="28" max="28" width="12.5703125" style="5" bestFit="1" customWidth="1"/>
  </cols>
  <sheetData>
    <row r="1" spans="1:38" ht="60.4" hidden="1" customHeight="1" x14ac:dyDescent="0.25"/>
    <row r="2" spans="1:38" s="5" customFormat="1" ht="60.4" customHeight="1" x14ac:dyDescent="0.2">
      <c r="A2" s="1"/>
      <c r="B2" s="1"/>
      <c r="C2" s="2" t="s">
        <v>1</v>
      </c>
      <c r="D2" s="3"/>
      <c r="E2" s="3"/>
      <c r="F2" s="3"/>
      <c r="G2" s="3"/>
      <c r="H2" s="3"/>
      <c r="I2" s="3"/>
      <c r="J2" s="3"/>
      <c r="K2" s="3"/>
      <c r="L2" s="3"/>
      <c r="M2" s="3"/>
      <c r="N2" s="4"/>
      <c r="O2" s="64" t="s">
        <v>16</v>
      </c>
      <c r="P2" s="1"/>
      <c r="Q2" s="1"/>
      <c r="R2" s="1"/>
    </row>
    <row r="3" spans="1:38" s="5" customFormat="1" ht="18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64"/>
      <c r="P3" s="1"/>
      <c r="Q3" s="1"/>
      <c r="R3" s="1"/>
      <c r="U3" s="5" t="s">
        <v>2</v>
      </c>
      <c r="V3" s="5" t="s">
        <v>3</v>
      </c>
      <c r="AC3" s="39" t="s">
        <v>43</v>
      </c>
      <c r="AD3" s="40"/>
      <c r="AE3" s="40"/>
      <c r="AF3" s="40"/>
      <c r="AG3" s="40"/>
      <c r="AH3" s="37"/>
      <c r="AI3" s="37"/>
      <c r="AJ3" s="37"/>
      <c r="AK3" s="37"/>
      <c r="AL3" s="37"/>
    </row>
    <row r="4" spans="1:38" s="5" customFormat="1" ht="18" customHeight="1" x14ac:dyDescent="0.25">
      <c r="A4" s="6" t="s">
        <v>4</v>
      </c>
      <c r="B4" s="6"/>
      <c r="C4" s="6" t="s">
        <v>5</v>
      </c>
      <c r="D4" s="6"/>
      <c r="E4" s="6"/>
      <c r="F4" s="6" t="s">
        <v>6</v>
      </c>
      <c r="G4" s="6"/>
      <c r="H4" s="6" t="s">
        <v>7</v>
      </c>
      <c r="I4" s="6"/>
      <c r="J4" s="6" t="s">
        <v>8</v>
      </c>
      <c r="K4" s="6" t="s">
        <v>9</v>
      </c>
      <c r="L4" s="6"/>
      <c r="M4" s="6" t="s">
        <v>10</v>
      </c>
      <c r="N4" s="7"/>
      <c r="O4" s="64"/>
      <c r="P4" s="1"/>
      <c r="Q4" s="1"/>
      <c r="R4" s="1"/>
      <c r="U4" s="5">
        <f>-V4</f>
        <v>-0.5</v>
      </c>
      <c r="V4" s="5">
        <v>0.5</v>
      </c>
      <c r="AC4" s="40"/>
      <c r="AD4" s="40"/>
      <c r="AE4" s="40"/>
      <c r="AF4" s="40"/>
      <c r="AG4" s="40"/>
      <c r="AH4" s="37"/>
      <c r="AI4" s="37"/>
      <c r="AJ4" s="37"/>
      <c r="AK4" s="37"/>
      <c r="AL4" s="37"/>
    </row>
    <row r="5" spans="1:38" s="5" customFormat="1" ht="18.95" customHeight="1" x14ac:dyDescent="0.25">
      <c r="A5" s="62"/>
      <c r="B5" s="62"/>
      <c r="C5" s="62">
        <v>90201</v>
      </c>
      <c r="D5" s="62"/>
      <c r="E5" s="62"/>
      <c r="F5" s="62" t="s">
        <v>11</v>
      </c>
      <c r="G5" s="62"/>
      <c r="H5" s="65">
        <v>42370</v>
      </c>
      <c r="I5" s="65"/>
      <c r="J5" s="8"/>
      <c r="K5" s="66"/>
      <c r="L5" s="66"/>
      <c r="M5" s="62"/>
      <c r="N5" s="62"/>
      <c r="O5" s="64"/>
      <c r="P5" s="1"/>
      <c r="Q5" s="1"/>
      <c r="R5" s="1"/>
      <c r="AC5" s="40"/>
      <c r="AD5" s="40"/>
      <c r="AE5" s="40"/>
      <c r="AF5" s="40"/>
      <c r="AG5" s="40"/>
      <c r="AH5" s="37"/>
      <c r="AI5" s="37"/>
      <c r="AJ5" s="37"/>
      <c r="AK5" s="37"/>
      <c r="AL5" s="37"/>
    </row>
    <row r="6" spans="1:38" s="5" customFormat="1" ht="18.95" customHeight="1" x14ac:dyDescent="0.25">
      <c r="A6" s="6" t="s">
        <v>12</v>
      </c>
      <c r="B6" s="6"/>
      <c r="C6" s="6" t="s">
        <v>13</v>
      </c>
      <c r="D6" s="6"/>
      <c r="E6" s="6"/>
      <c r="F6" s="6"/>
      <c r="G6" s="6"/>
      <c r="H6" s="6"/>
      <c r="I6" s="6"/>
      <c r="J6" s="6"/>
      <c r="K6" s="6" t="s">
        <v>14</v>
      </c>
      <c r="L6" s="6"/>
      <c r="M6" s="6" t="s">
        <v>15</v>
      </c>
      <c r="N6" s="7"/>
      <c r="O6" s="64"/>
      <c r="P6" s="1"/>
      <c r="Q6" s="1"/>
      <c r="R6" s="1"/>
      <c r="AC6" s="40"/>
      <c r="AD6" s="40"/>
      <c r="AE6" s="40"/>
      <c r="AF6" s="40"/>
      <c r="AG6" s="40"/>
      <c r="AH6" s="37"/>
      <c r="AI6" s="37"/>
      <c r="AJ6" s="37"/>
      <c r="AK6" s="37"/>
      <c r="AL6" s="37"/>
    </row>
    <row r="7" spans="1:38" s="5" customFormat="1" ht="18.95" customHeight="1" x14ac:dyDescent="0.25">
      <c r="A7" s="62" t="s">
        <v>17</v>
      </c>
      <c r="B7" s="62"/>
      <c r="C7" s="62"/>
      <c r="D7" s="62"/>
      <c r="E7" s="62"/>
      <c r="F7" s="62"/>
      <c r="G7" s="62"/>
      <c r="H7" s="62"/>
      <c r="I7" s="62"/>
      <c r="J7" s="62"/>
      <c r="K7" s="67" t="str">
        <f>IF(K5="","",EDATE(K5,3))</f>
        <v/>
      </c>
      <c r="L7" s="67"/>
      <c r="M7" s="62" t="s">
        <v>8</v>
      </c>
      <c r="N7" s="62"/>
      <c r="O7" s="64"/>
      <c r="P7" s="1"/>
      <c r="Q7" s="1"/>
      <c r="R7" s="1"/>
      <c r="AC7" s="40"/>
      <c r="AD7" s="40"/>
      <c r="AE7" s="40"/>
      <c r="AF7" s="40"/>
      <c r="AG7" s="40"/>
      <c r="AH7" s="37"/>
      <c r="AI7" s="37"/>
      <c r="AJ7" s="37"/>
      <c r="AK7" s="37"/>
      <c r="AL7" s="37"/>
    </row>
    <row r="8" spans="1:38" s="5" customFormat="1" ht="6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AC8" s="37"/>
      <c r="AD8" s="37"/>
      <c r="AE8" s="37"/>
      <c r="AF8" s="37"/>
      <c r="AG8" s="37"/>
      <c r="AH8" s="37"/>
      <c r="AI8" s="37"/>
      <c r="AJ8" s="37"/>
      <c r="AK8" s="37"/>
      <c r="AL8" s="37"/>
    </row>
    <row r="9" spans="1:38" s="5" customFormat="1" ht="15" customHeight="1" x14ac:dyDescent="0.2">
      <c r="A9" s="9" t="s">
        <v>18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1"/>
      <c r="R9" s="1"/>
      <c r="AC9" s="37"/>
      <c r="AD9" s="37"/>
      <c r="AE9" s="37"/>
      <c r="AF9" s="37"/>
      <c r="AG9" s="37"/>
      <c r="AH9" s="37"/>
      <c r="AI9" s="37"/>
      <c r="AJ9" s="37"/>
      <c r="AK9" s="37"/>
      <c r="AL9" s="37"/>
    </row>
    <row r="10" spans="1:38" s="5" customFormat="1" ht="5.25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AC10" s="37"/>
      <c r="AD10" s="37"/>
      <c r="AE10" s="37"/>
      <c r="AF10" s="37"/>
      <c r="AG10" s="37"/>
      <c r="AH10" s="37"/>
      <c r="AI10" s="37"/>
      <c r="AJ10" s="37"/>
      <c r="AK10" s="37"/>
      <c r="AL10" s="37"/>
    </row>
    <row r="11" spans="1:38" s="14" customFormat="1" ht="15.75" customHeight="1" x14ac:dyDescent="0.25">
      <c r="A11" s="10"/>
      <c r="B11" s="11"/>
      <c r="C11" s="12" t="s">
        <v>19</v>
      </c>
      <c r="D11" s="12"/>
      <c r="E11" s="12"/>
      <c r="F11" s="12"/>
      <c r="G11" s="10"/>
      <c r="H11" s="11"/>
      <c r="I11" s="10"/>
      <c r="J11" s="11"/>
      <c r="K11" s="12" t="s">
        <v>20</v>
      </c>
      <c r="L11" s="12"/>
      <c r="M11" s="12"/>
      <c r="N11" s="12"/>
      <c r="O11" s="11"/>
      <c r="P11" s="11"/>
      <c r="Q11" s="13"/>
      <c r="R11" s="13"/>
      <c r="AC11" s="37"/>
      <c r="AD11" s="37"/>
      <c r="AE11" s="37"/>
      <c r="AF11" s="37"/>
      <c r="AG11" s="37"/>
      <c r="AH11" s="37"/>
      <c r="AI11" s="37"/>
      <c r="AJ11" s="37"/>
      <c r="AK11" s="37"/>
      <c r="AL11" s="37"/>
    </row>
    <row r="12" spans="1:38" s="14" customFormat="1" ht="15.75" x14ac:dyDescent="0.25">
      <c r="A12" s="15"/>
      <c r="B12" s="15"/>
      <c r="C12" s="60"/>
      <c r="D12" s="60"/>
      <c r="E12" s="60"/>
      <c r="F12" s="60"/>
      <c r="G12" s="15"/>
      <c r="H12" s="15"/>
      <c r="I12" s="15"/>
      <c r="J12" s="15"/>
      <c r="K12" s="61"/>
      <c r="L12" s="61"/>
      <c r="M12" s="61"/>
      <c r="N12" s="61"/>
      <c r="O12" s="15"/>
      <c r="P12" s="15"/>
      <c r="Q12" s="13"/>
      <c r="R12" s="13"/>
    </row>
    <row r="13" spans="1:38" s="5" customFormat="1" ht="6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38" s="5" customFormat="1" ht="15" customHeight="1" x14ac:dyDescent="0.2">
      <c r="A14" s="9" t="s">
        <v>21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1"/>
      <c r="R14" s="1"/>
    </row>
    <row r="15" spans="1:38" s="5" customFormat="1" ht="5.25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AC15" s="38"/>
      <c r="AD15" s="38"/>
      <c r="AE15" s="38"/>
      <c r="AF15" s="38"/>
      <c r="AG15" s="38"/>
    </row>
    <row r="16" spans="1:38" s="14" customFormat="1" ht="15.75" customHeight="1" x14ac:dyDescent="0.25">
      <c r="A16" s="12" t="s">
        <v>22</v>
      </c>
      <c r="B16" s="12"/>
      <c r="C16" s="12"/>
      <c r="D16" s="12"/>
      <c r="E16" s="12" t="s">
        <v>23</v>
      </c>
      <c r="F16" s="12"/>
      <c r="G16" s="12"/>
      <c r="H16" s="12"/>
      <c r="I16" s="12" t="s">
        <v>24</v>
      </c>
      <c r="J16" s="12"/>
      <c r="K16" s="12"/>
      <c r="L16" s="12"/>
      <c r="M16" s="12" t="s">
        <v>25</v>
      </c>
      <c r="N16" s="12"/>
      <c r="O16" s="12"/>
      <c r="Q16" s="13"/>
      <c r="R16" s="13"/>
      <c r="AC16" s="38"/>
      <c r="AD16" s="38"/>
      <c r="AE16" s="38"/>
      <c r="AF16" s="38"/>
      <c r="AG16" s="38"/>
    </row>
    <row r="17" spans="1:33" s="14" customFormat="1" ht="15.75" customHeight="1" x14ac:dyDescent="0.25">
      <c r="A17" s="62" t="s">
        <v>0</v>
      </c>
      <c r="B17" s="62"/>
      <c r="C17" s="62"/>
      <c r="D17" s="62"/>
      <c r="E17" s="62" t="str">
        <f>MIN(AA25:AA36) &amp; " - " &amp; MAX(AA25:AA36)</f>
        <v>0 - 0</v>
      </c>
      <c r="F17" s="62"/>
      <c r="G17" s="62"/>
      <c r="H17" s="62"/>
      <c r="I17" s="62" t="s">
        <v>0</v>
      </c>
      <c r="J17" s="62"/>
      <c r="K17" s="62"/>
      <c r="L17" s="62"/>
      <c r="M17" s="63" t="s">
        <v>26</v>
      </c>
      <c r="N17" s="63"/>
      <c r="O17" s="63"/>
      <c r="Q17" s="13"/>
      <c r="R17" s="13"/>
      <c r="AC17" s="38"/>
      <c r="AD17" s="38"/>
      <c r="AE17" s="38"/>
      <c r="AF17" s="38"/>
      <c r="AG17" s="38"/>
    </row>
    <row r="18" spans="1:33" s="14" customFormat="1" ht="20.25" customHeight="1" x14ac:dyDescent="0.25">
      <c r="A18" s="16" t="s">
        <v>27</v>
      </c>
      <c r="B18" s="15"/>
      <c r="C18" s="15"/>
      <c r="D18" s="15"/>
      <c r="E18" s="15"/>
      <c r="F18" s="15"/>
      <c r="G18" s="15"/>
      <c r="H18" s="15"/>
      <c r="I18" s="15"/>
      <c r="J18" s="15"/>
      <c r="K18" s="17" t="s">
        <v>8</v>
      </c>
      <c r="L18" s="17"/>
      <c r="M18" s="17"/>
      <c r="N18" s="17"/>
      <c r="O18" s="15"/>
      <c r="P18" s="15"/>
      <c r="Q18" s="13"/>
      <c r="R18" s="13"/>
      <c r="AC18" s="38"/>
      <c r="AD18" s="38"/>
      <c r="AE18" s="38"/>
      <c r="AF18" s="38"/>
      <c r="AG18" s="38"/>
    </row>
    <row r="19" spans="1:33" s="14" customFormat="1" ht="63.75" customHeight="1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13"/>
      <c r="R19" s="13"/>
      <c r="AC19" s="38"/>
      <c r="AD19" s="38"/>
      <c r="AE19" s="38"/>
      <c r="AF19" s="38"/>
      <c r="AG19" s="38"/>
    </row>
    <row r="20" spans="1:33" s="5" customFormat="1" ht="6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33" s="5" customFormat="1" ht="15" customHeight="1" x14ac:dyDescent="0.2">
      <c r="A21" s="9" t="s">
        <v>28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1"/>
      <c r="R21" s="1"/>
    </row>
    <row r="22" spans="1:33" s="5" customFormat="1" ht="5.25" customHeight="1" thickBo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33" s="5" customFormat="1" ht="12.75" x14ac:dyDescent="0.2">
      <c r="A23" s="18" t="s">
        <v>29</v>
      </c>
      <c r="B23" s="19"/>
      <c r="C23" s="18" t="s">
        <v>30</v>
      </c>
      <c r="D23" s="19"/>
      <c r="E23" s="18" t="s">
        <v>31</v>
      </c>
      <c r="F23" s="19"/>
      <c r="G23" s="20" t="s">
        <v>32</v>
      </c>
      <c r="H23" s="18" t="s">
        <v>33</v>
      </c>
      <c r="I23" s="19"/>
      <c r="J23" s="20" t="s">
        <v>32</v>
      </c>
      <c r="K23" s="18" t="s">
        <v>34</v>
      </c>
      <c r="L23" s="19"/>
      <c r="M23" s="20" t="s">
        <v>32</v>
      </c>
      <c r="N23" s="18" t="s">
        <v>35</v>
      </c>
      <c r="O23" s="19"/>
      <c r="P23" s="20" t="s">
        <v>32</v>
      </c>
      <c r="Q23" s="1"/>
      <c r="R23" s="1"/>
    </row>
    <row r="24" spans="1:33" s="10" customFormat="1" ht="16.5" thickBot="1" x14ac:dyDescent="0.3">
      <c r="A24" s="21" t="s">
        <v>36</v>
      </c>
      <c r="B24" s="22"/>
      <c r="C24" s="21" t="s">
        <v>37</v>
      </c>
      <c r="D24" s="22"/>
      <c r="E24" s="21" t="s">
        <v>37</v>
      </c>
      <c r="F24" s="22"/>
      <c r="G24" s="23" t="s">
        <v>38</v>
      </c>
      <c r="H24" s="21" t="s">
        <v>37</v>
      </c>
      <c r="I24" s="22"/>
      <c r="J24" s="23" t="s">
        <v>38</v>
      </c>
      <c r="K24" s="21" t="s">
        <v>37</v>
      </c>
      <c r="L24" s="22"/>
      <c r="M24" s="23" t="s">
        <v>38</v>
      </c>
      <c r="N24" s="21" t="s">
        <v>37</v>
      </c>
      <c r="O24" s="22"/>
      <c r="P24" s="23" t="s">
        <v>38</v>
      </c>
      <c r="Q24" s="24"/>
      <c r="R24" s="24"/>
    </row>
    <row r="25" spans="1:33" s="10" customFormat="1" ht="24" customHeight="1" x14ac:dyDescent="0.25">
      <c r="A25" s="54">
        <f>INDEX(Data!$B8:$I8,1,MATCH($A$7,Data!$B$7:$I$7,0))</f>
        <v>0</v>
      </c>
      <c r="B25" s="55"/>
      <c r="C25" s="56">
        <f>INDEX(Data!$B8:$I8,1,MATCH($A$7,Data!$B$7:$I$7,0)+1)</f>
        <v>0</v>
      </c>
      <c r="D25" s="57"/>
      <c r="E25" s="58"/>
      <c r="F25" s="59"/>
      <c r="G25" s="25"/>
      <c r="H25" s="58"/>
      <c r="I25" s="59"/>
      <c r="J25" s="25"/>
      <c r="K25" s="58"/>
      <c r="L25" s="59"/>
      <c r="M25" s="25"/>
      <c r="N25" s="58"/>
      <c r="O25" s="59"/>
      <c r="P25" s="25"/>
      <c r="Q25" s="24"/>
      <c r="R25" s="24"/>
      <c r="AA25" s="26" t="str">
        <f>IF(OR(E25&lt;&gt;"",H25&lt;&gt;"",K25&lt;&gt;"",N25&lt;&gt;""),C25,"")</f>
        <v/>
      </c>
    </row>
    <row r="26" spans="1:33" s="10" customFormat="1" ht="24" customHeight="1" x14ac:dyDescent="0.25">
      <c r="A26" s="43">
        <f>INDEX(Data!$B9:$I9,1,MATCH($A$7,Data!$B$7:$I$7,0))</f>
        <v>0.79800000000000004</v>
      </c>
      <c r="B26" s="44"/>
      <c r="C26" s="45">
        <f>INDEX(Data!$B9:$I9,1,MATCH($A$7,Data!$B$7:$I$7,0)+1)</f>
        <v>20</v>
      </c>
      <c r="D26" s="46"/>
      <c r="E26" s="47"/>
      <c r="F26" s="48"/>
      <c r="G26" s="27" t="str">
        <f>IF(E26="","",(E26-$C26)/$C26*100)</f>
        <v/>
      </c>
      <c r="H26" s="47"/>
      <c r="I26" s="48"/>
      <c r="J26" s="27" t="str">
        <f>IF(H26="","",(H26-$C26)/$C26*100)</f>
        <v/>
      </c>
      <c r="K26" s="47"/>
      <c r="L26" s="48"/>
      <c r="M26" s="27" t="str">
        <f>IF(K26="","",(K26-$C26)/$C26*100)</f>
        <v/>
      </c>
      <c r="N26" s="47"/>
      <c r="O26" s="48"/>
      <c r="P26" s="27" t="str">
        <f>IF(N26="","",(N26-$C26)/$C26*100)</f>
        <v/>
      </c>
      <c r="Q26" s="24"/>
      <c r="R26" s="24"/>
      <c r="AA26" s="26" t="str">
        <f t="shared" ref="AA26:AA36" si="0">IF(OR(E26&lt;&gt;"",H26&lt;&gt;"",K26&lt;&gt;"",N26&lt;&gt;""),C26,"")</f>
        <v/>
      </c>
    </row>
    <row r="27" spans="1:33" s="10" customFormat="1" ht="24" customHeight="1" x14ac:dyDescent="0.25">
      <c r="A27" s="43">
        <f>INDEX(Data!$B10:$I10,1,MATCH($A$7,Data!$B$7:$I$7,0))</f>
        <v>4.0949999999999998</v>
      </c>
      <c r="B27" s="44"/>
      <c r="C27" s="45">
        <f>INDEX(Data!$B10:$I10,1,MATCH($A$7,Data!$B$7:$I$7,0)+1)</f>
        <v>100</v>
      </c>
      <c r="D27" s="46"/>
      <c r="E27" s="47"/>
      <c r="F27" s="48"/>
      <c r="G27" s="27" t="str">
        <f t="shared" ref="G27:G36" si="1">IF(E27="","",(E27-$C27)/$C27*100)</f>
        <v/>
      </c>
      <c r="H27" s="47"/>
      <c r="I27" s="48"/>
      <c r="J27" s="27" t="str">
        <f t="shared" ref="J27:J36" si="2">IF(H27="","",(H27-$C27)/$C27*100)</f>
        <v/>
      </c>
      <c r="K27" s="47"/>
      <c r="L27" s="48"/>
      <c r="M27" s="27" t="str">
        <f t="shared" ref="M27:M36" si="3">IF(K27="","",(K27-$C27)/$C27*100)</f>
        <v/>
      </c>
      <c r="N27" s="47"/>
      <c r="O27" s="48"/>
      <c r="P27" s="27" t="str">
        <f t="shared" ref="P27:P36" si="4">IF(N27="","",(N27-$C27)/$C27*100)</f>
        <v/>
      </c>
      <c r="Q27" s="24"/>
      <c r="R27" s="24"/>
      <c r="AA27" s="26" t="str">
        <f t="shared" si="0"/>
        <v/>
      </c>
      <c r="AB27" s="28"/>
    </row>
    <row r="28" spans="1:33" s="10" customFormat="1" ht="24" customHeight="1" x14ac:dyDescent="0.25">
      <c r="A28" s="43">
        <f>INDEX(Data!$B11:$I11,1,MATCH($A$7,Data!$B$7:$I$7,0))</f>
        <v>8.1370000000000005</v>
      </c>
      <c r="B28" s="44"/>
      <c r="C28" s="45">
        <f>INDEX(Data!$B11:$I11,1,MATCH($A$7,Data!$B$7:$I$7,0)+1)</f>
        <v>200</v>
      </c>
      <c r="D28" s="46"/>
      <c r="E28" s="47"/>
      <c r="F28" s="48"/>
      <c r="G28" s="27" t="str">
        <f t="shared" si="1"/>
        <v/>
      </c>
      <c r="H28" s="47"/>
      <c r="I28" s="48"/>
      <c r="J28" s="27" t="str">
        <f t="shared" si="2"/>
        <v/>
      </c>
      <c r="K28" s="47"/>
      <c r="L28" s="48"/>
      <c r="M28" s="27" t="str">
        <f t="shared" si="3"/>
        <v/>
      </c>
      <c r="N28" s="47"/>
      <c r="O28" s="48"/>
      <c r="P28" s="27" t="str">
        <f t="shared" si="4"/>
        <v/>
      </c>
      <c r="Q28" s="24"/>
      <c r="R28" s="24"/>
      <c r="AA28" s="26" t="str">
        <f t="shared" si="0"/>
        <v/>
      </c>
    </row>
    <row r="29" spans="1:33" s="10" customFormat="1" ht="24" customHeight="1" x14ac:dyDescent="0.25">
      <c r="A29" s="43">
        <f>INDEX(Data!$B12:$I12,1,MATCH($A$7,Data!$B$7:$I$7,0))</f>
        <v>12.207000000000001</v>
      </c>
      <c r="B29" s="44"/>
      <c r="C29" s="45">
        <f>INDEX(Data!$B12:$I12,1,MATCH($A$7,Data!$B$7:$I$7,0)+1)</f>
        <v>300</v>
      </c>
      <c r="D29" s="46"/>
      <c r="E29" s="47"/>
      <c r="F29" s="48"/>
      <c r="G29" s="27" t="str">
        <f t="shared" si="1"/>
        <v/>
      </c>
      <c r="H29" s="47"/>
      <c r="I29" s="48"/>
      <c r="J29" s="27" t="str">
        <f t="shared" si="2"/>
        <v/>
      </c>
      <c r="K29" s="47"/>
      <c r="L29" s="48"/>
      <c r="M29" s="27" t="str">
        <f t="shared" si="3"/>
        <v/>
      </c>
      <c r="N29" s="47"/>
      <c r="O29" s="48"/>
      <c r="P29" s="27" t="str">
        <f t="shared" si="4"/>
        <v/>
      </c>
      <c r="Q29" s="24"/>
      <c r="R29" s="24"/>
      <c r="AA29" s="26" t="str">
        <f t="shared" si="0"/>
        <v/>
      </c>
    </row>
    <row r="30" spans="1:33" s="10" customFormat="1" ht="24" customHeight="1" x14ac:dyDescent="0.25">
      <c r="A30" s="43">
        <f>INDEX(Data!$B13:$I13,1,MATCH($A$7,Data!$B$7:$I$7,0))</f>
        <v>16.395</v>
      </c>
      <c r="B30" s="44"/>
      <c r="C30" s="45">
        <f>INDEX(Data!$B13:$I13,1,MATCH($A$7,Data!$B$7:$I$7,0)+1)</f>
        <v>400</v>
      </c>
      <c r="D30" s="46"/>
      <c r="E30" s="47"/>
      <c r="F30" s="48"/>
      <c r="G30" s="27" t="str">
        <f>IF(E30="","",(E30-$C30)/$C30*100)</f>
        <v/>
      </c>
      <c r="H30" s="47"/>
      <c r="I30" s="48"/>
      <c r="J30" s="27" t="str">
        <f t="shared" si="2"/>
        <v/>
      </c>
      <c r="K30" s="47"/>
      <c r="L30" s="48"/>
      <c r="M30" s="27" t="str">
        <f t="shared" si="3"/>
        <v/>
      </c>
      <c r="N30" s="47"/>
      <c r="O30" s="48"/>
      <c r="P30" s="27" t="str">
        <f t="shared" si="4"/>
        <v/>
      </c>
      <c r="Q30" s="24"/>
      <c r="R30" s="24"/>
      <c r="AA30" s="26" t="str">
        <f t="shared" si="0"/>
        <v/>
      </c>
    </row>
    <row r="31" spans="1:33" s="10" customFormat="1" ht="24" customHeight="1" x14ac:dyDescent="0.25">
      <c r="A31" s="43">
        <f>INDEX(Data!$B14:$I14,1,MATCH($A$7,Data!$B$7:$I$7,0))</f>
        <v>20.64</v>
      </c>
      <c r="B31" s="44"/>
      <c r="C31" s="45">
        <f>INDEX(Data!$B14:$I14,1,MATCH($A$7,Data!$B$7:$I$7,0)+1)</f>
        <v>500</v>
      </c>
      <c r="D31" s="46"/>
      <c r="E31" s="47"/>
      <c r="F31" s="48"/>
      <c r="G31" s="27" t="str">
        <f t="shared" si="1"/>
        <v/>
      </c>
      <c r="H31" s="47"/>
      <c r="I31" s="48"/>
      <c r="J31" s="27" t="str">
        <f t="shared" si="2"/>
        <v/>
      </c>
      <c r="K31" s="47"/>
      <c r="L31" s="48"/>
      <c r="M31" s="27" t="str">
        <f t="shared" si="3"/>
        <v/>
      </c>
      <c r="N31" s="47"/>
      <c r="O31" s="48"/>
      <c r="P31" s="27" t="str">
        <f t="shared" si="4"/>
        <v/>
      </c>
      <c r="Q31" s="24"/>
      <c r="R31" s="24"/>
      <c r="AA31" s="26" t="str">
        <f t="shared" si="0"/>
        <v/>
      </c>
    </row>
    <row r="32" spans="1:33" s="10" customFormat="1" ht="24" customHeight="1" x14ac:dyDescent="0.25">
      <c r="A32" s="43">
        <f>INDEX(Data!$B15:$I15,1,MATCH($A$7,Data!$B$7:$I$7,0))</f>
        <v>24.902000000000001</v>
      </c>
      <c r="B32" s="44"/>
      <c r="C32" s="45">
        <f>INDEX(Data!$B15:$I15,1,MATCH($A$7,Data!$B$7:$I$7,0)+1)</f>
        <v>600</v>
      </c>
      <c r="D32" s="46"/>
      <c r="E32" s="47"/>
      <c r="F32" s="48"/>
      <c r="G32" s="27" t="str">
        <f t="shared" si="1"/>
        <v/>
      </c>
      <c r="H32" s="47"/>
      <c r="I32" s="48"/>
      <c r="J32" s="27" t="str">
        <f t="shared" si="2"/>
        <v/>
      </c>
      <c r="K32" s="47"/>
      <c r="L32" s="48"/>
      <c r="M32" s="27" t="str">
        <f t="shared" si="3"/>
        <v/>
      </c>
      <c r="N32" s="47"/>
      <c r="O32" s="48"/>
      <c r="P32" s="27" t="str">
        <f t="shared" si="4"/>
        <v/>
      </c>
      <c r="Q32" s="24"/>
      <c r="R32" s="24"/>
      <c r="AA32" s="26" t="str">
        <f t="shared" si="0"/>
        <v/>
      </c>
    </row>
    <row r="33" spans="1:27" s="10" customFormat="1" ht="24" customHeight="1" x14ac:dyDescent="0.25">
      <c r="A33" s="43">
        <f>INDEX(Data!$B16:$I16,1,MATCH($A$7,Data!$B$7:$I$7,0))</f>
        <v>29.128</v>
      </c>
      <c r="B33" s="44"/>
      <c r="C33" s="45">
        <f>INDEX(Data!$B16:$I16,1,MATCH($A$7,Data!$B$7:$I$7,0)+1)</f>
        <v>700</v>
      </c>
      <c r="D33" s="46"/>
      <c r="E33" s="47"/>
      <c r="F33" s="48"/>
      <c r="G33" s="27" t="str">
        <f t="shared" si="1"/>
        <v/>
      </c>
      <c r="H33" s="47"/>
      <c r="I33" s="48"/>
      <c r="J33" s="27" t="str">
        <f t="shared" si="2"/>
        <v/>
      </c>
      <c r="K33" s="47"/>
      <c r="L33" s="48"/>
      <c r="M33" s="27" t="str">
        <f t="shared" si="3"/>
        <v/>
      </c>
      <c r="N33" s="47"/>
      <c r="O33" s="48"/>
      <c r="P33" s="27" t="str">
        <f t="shared" si="4"/>
        <v/>
      </c>
      <c r="Q33" s="24"/>
      <c r="R33" s="24"/>
      <c r="AA33" s="26" t="str">
        <f t="shared" si="0"/>
        <v/>
      </c>
    </row>
    <row r="34" spans="1:27" s="10" customFormat="1" ht="24" customHeight="1" x14ac:dyDescent="0.25">
      <c r="A34" s="43">
        <f>INDEX(Data!$B17:$I17,1,MATCH($A$7,Data!$B$7:$I$7,0))</f>
        <v>33.277000000000001</v>
      </c>
      <c r="B34" s="44"/>
      <c r="C34" s="45">
        <f>INDEX(Data!$B17:$I17,1,MATCH($A$7,Data!$B$7:$I$7,0)+1)</f>
        <v>800</v>
      </c>
      <c r="D34" s="46"/>
      <c r="E34" s="47"/>
      <c r="F34" s="48"/>
      <c r="G34" s="27" t="str">
        <f t="shared" si="1"/>
        <v/>
      </c>
      <c r="H34" s="47"/>
      <c r="I34" s="48"/>
      <c r="J34" s="27" t="str">
        <f t="shared" si="2"/>
        <v/>
      </c>
      <c r="K34" s="47"/>
      <c r="L34" s="48"/>
      <c r="M34" s="27" t="str">
        <f t="shared" si="3"/>
        <v/>
      </c>
      <c r="N34" s="47"/>
      <c r="O34" s="48"/>
      <c r="P34" s="27" t="str">
        <f t="shared" si="4"/>
        <v/>
      </c>
      <c r="Q34" s="24"/>
      <c r="R34" s="24"/>
      <c r="AA34" s="26" t="str">
        <f t="shared" si="0"/>
        <v/>
      </c>
    </row>
    <row r="35" spans="1:27" s="10" customFormat="1" ht="24" customHeight="1" x14ac:dyDescent="0.25">
      <c r="A35" s="43">
        <f>INDEX(Data!$B18:$I18,1,MATCH($A$7,Data!$B$7:$I$7,0))</f>
        <v>37.325000000000003</v>
      </c>
      <c r="B35" s="44"/>
      <c r="C35" s="45">
        <f>INDEX(Data!$B18:$I18,1,MATCH($A$7,Data!$B$7:$I$7,0)+1)</f>
        <v>900</v>
      </c>
      <c r="D35" s="46"/>
      <c r="E35" s="47"/>
      <c r="F35" s="48"/>
      <c r="G35" s="27" t="str">
        <f t="shared" si="1"/>
        <v/>
      </c>
      <c r="H35" s="47"/>
      <c r="I35" s="48"/>
      <c r="J35" s="27" t="str">
        <f t="shared" si="2"/>
        <v/>
      </c>
      <c r="K35" s="47"/>
      <c r="L35" s="48"/>
      <c r="M35" s="27" t="str">
        <f t="shared" si="3"/>
        <v/>
      </c>
      <c r="N35" s="47"/>
      <c r="O35" s="48"/>
      <c r="P35" s="27" t="str">
        <f t="shared" si="4"/>
        <v/>
      </c>
      <c r="Q35" s="24"/>
      <c r="R35" s="24"/>
      <c r="AA35" s="26" t="str">
        <f t="shared" si="0"/>
        <v/>
      </c>
    </row>
    <row r="36" spans="1:27" s="10" customFormat="1" ht="24" customHeight="1" thickBot="1" x14ac:dyDescent="0.3">
      <c r="A36" s="49">
        <f>INDEX(Data!$B19:$I19,1,MATCH($A$7,Data!$B$7:$I$7,0))</f>
        <v>41.268999999999998</v>
      </c>
      <c r="B36" s="50"/>
      <c r="C36" s="51">
        <f>INDEX(Data!$B19:$I19,1,MATCH($A$7,Data!$B$7:$I$7,0)+1)</f>
        <v>1000</v>
      </c>
      <c r="D36" s="52"/>
      <c r="E36" s="41"/>
      <c r="F36" s="42"/>
      <c r="G36" s="29" t="str">
        <f t="shared" si="1"/>
        <v/>
      </c>
      <c r="H36" s="41"/>
      <c r="I36" s="42"/>
      <c r="J36" s="29" t="str">
        <f t="shared" si="2"/>
        <v/>
      </c>
      <c r="K36" s="41"/>
      <c r="L36" s="42"/>
      <c r="M36" s="29" t="str">
        <f t="shared" si="3"/>
        <v/>
      </c>
      <c r="N36" s="41"/>
      <c r="O36" s="42"/>
      <c r="P36" s="29" t="str">
        <f t="shared" si="4"/>
        <v/>
      </c>
      <c r="Q36" s="24"/>
      <c r="R36" s="24"/>
      <c r="AA36" s="26" t="str">
        <f t="shared" si="0"/>
        <v/>
      </c>
    </row>
    <row r="37" spans="1:27" s="10" customFormat="1" ht="24" customHeight="1" x14ac:dyDescent="0.25">
      <c r="A37" s="30" t="s">
        <v>39</v>
      </c>
      <c r="B37" s="12"/>
      <c r="D37" s="12"/>
      <c r="E37" s="12"/>
      <c r="F37" s="12"/>
      <c r="G37" s="31"/>
      <c r="H37" s="31"/>
      <c r="I37" s="12"/>
      <c r="J37" s="12"/>
      <c r="K37" s="32" t="s">
        <v>40</v>
      </c>
      <c r="L37" s="12"/>
      <c r="M37" s="12"/>
      <c r="N37" s="12"/>
      <c r="O37" s="12"/>
      <c r="P37" s="12"/>
      <c r="Q37" s="24"/>
      <c r="R37" s="24"/>
    </row>
  </sheetData>
  <sheetProtection formatCells="0" formatColumns="0" formatRows="0" insertColumns="0" insertRows="0" insertHyperlinks="0" deleteColumns="0" deleteRows="0" sort="0" autoFilter="0" pivotTables="0"/>
  <mergeCells count="91">
    <mergeCell ref="O2:O7"/>
    <mergeCell ref="A5:B5"/>
    <mergeCell ref="C5:E5"/>
    <mergeCell ref="F5:G5"/>
    <mergeCell ref="H5:I5"/>
    <mergeCell ref="K5:L5"/>
    <mergeCell ref="M5:N5"/>
    <mergeCell ref="A7:B7"/>
    <mergeCell ref="C7:J7"/>
    <mergeCell ref="K7:L7"/>
    <mergeCell ref="M7:N7"/>
    <mergeCell ref="C12:F12"/>
    <mergeCell ref="K12:N12"/>
    <mergeCell ref="A17:D17"/>
    <mergeCell ref="E17:H17"/>
    <mergeCell ref="I17:L17"/>
    <mergeCell ref="M17:O17"/>
    <mergeCell ref="N26:O26"/>
    <mergeCell ref="A19:P19"/>
    <mergeCell ref="A25:B25"/>
    <mergeCell ref="C25:D25"/>
    <mergeCell ref="E25:F25"/>
    <mergeCell ref="H25:I25"/>
    <mergeCell ref="K25:L25"/>
    <mergeCell ref="N25:O25"/>
    <mergeCell ref="A26:B26"/>
    <mergeCell ref="C26:D26"/>
    <mergeCell ref="E26:F26"/>
    <mergeCell ref="H26:I26"/>
    <mergeCell ref="K26:L26"/>
    <mergeCell ref="N28:O28"/>
    <mergeCell ref="A27:B27"/>
    <mergeCell ref="C27:D27"/>
    <mergeCell ref="E27:F27"/>
    <mergeCell ref="H27:I27"/>
    <mergeCell ref="K27:L27"/>
    <mergeCell ref="N27:O27"/>
    <mergeCell ref="A28:B28"/>
    <mergeCell ref="C28:D28"/>
    <mergeCell ref="E28:F28"/>
    <mergeCell ref="H28:I28"/>
    <mergeCell ref="K28:L28"/>
    <mergeCell ref="N30:O30"/>
    <mergeCell ref="A29:B29"/>
    <mergeCell ref="C29:D29"/>
    <mergeCell ref="E29:F29"/>
    <mergeCell ref="H29:I29"/>
    <mergeCell ref="K29:L29"/>
    <mergeCell ref="N29:O29"/>
    <mergeCell ref="A30:B30"/>
    <mergeCell ref="C30:D30"/>
    <mergeCell ref="E30:F30"/>
    <mergeCell ref="H30:I30"/>
    <mergeCell ref="K30:L30"/>
    <mergeCell ref="N32:O32"/>
    <mergeCell ref="A31:B31"/>
    <mergeCell ref="C31:D31"/>
    <mergeCell ref="E31:F31"/>
    <mergeCell ref="H31:I31"/>
    <mergeCell ref="K31:L31"/>
    <mergeCell ref="N31:O31"/>
    <mergeCell ref="A32:B32"/>
    <mergeCell ref="C32:D32"/>
    <mergeCell ref="E32:F32"/>
    <mergeCell ref="H32:I32"/>
    <mergeCell ref="K32:L32"/>
    <mergeCell ref="E33:F33"/>
    <mergeCell ref="H33:I33"/>
    <mergeCell ref="K33:L33"/>
    <mergeCell ref="N33:O33"/>
    <mergeCell ref="A34:B34"/>
    <mergeCell ref="C34:D34"/>
    <mergeCell ref="E34:F34"/>
    <mergeCell ref="H34:I34"/>
    <mergeCell ref="K34:L34"/>
    <mergeCell ref="AC3:AG7"/>
    <mergeCell ref="N36:O36"/>
    <mergeCell ref="A35:B35"/>
    <mergeCell ref="C35:D35"/>
    <mergeCell ref="E35:F35"/>
    <mergeCell ref="H35:I35"/>
    <mergeCell ref="K35:L35"/>
    <mergeCell ref="N35:O35"/>
    <mergeCell ref="A36:B36"/>
    <mergeCell ref="C36:D36"/>
    <mergeCell ref="E36:F36"/>
    <mergeCell ref="H36:I36"/>
    <mergeCell ref="K36:L36"/>
    <mergeCell ref="N34:O34"/>
    <mergeCell ref="A33:B33"/>
    <mergeCell ref="C33:D33"/>
  </mergeCells>
  <conditionalFormatting sqref="M17:O17">
    <cfRule type="expression" dxfId="1" priority="2">
      <formula>M17&lt;&gt;"Yes"</formula>
    </cfRule>
  </conditionalFormatting>
  <conditionalFormatting sqref="G26:G36 J26:J36 M26:M36 P26:P36">
    <cfRule type="cellIs" dxfId="0" priority="1" operator="notBetween">
      <formula>$U$4</formula>
      <formula>$V$4</formula>
    </cfRule>
  </conditionalFormatting>
  <dataValidations count="2">
    <dataValidation type="list" allowBlank="1" showInputMessage="1" showErrorMessage="1" sqref="A7:B7" xr:uid="{10647681-9996-436E-A2B9-9BE958F2419E}">
      <formula1>"K,R,S"</formula1>
    </dataValidation>
    <dataValidation type="list" showInputMessage="1" showErrorMessage="1" sqref="M17:O17 I17 A17" xr:uid="{9DDD4294-0262-4954-9A88-6351EE776F93}">
      <formula1>"Yes,No"</formula1>
    </dataValidation>
  </dataValidations>
  <hyperlinks>
    <hyperlink ref="AC3:AG7" location="TempLine!AG7" display="TempLine!AG7" xr:uid="{346CF66F-B4EB-42BF-983E-C36C845FE65A}"/>
  </hyperlinks>
  <pageMargins left="0.6" right="0.25" top="0.35" bottom="0.35" header="0.3" footer="0.3"/>
  <pageSetup paperSize="9" scale="86" fitToHeight="0" orientation="portrait" r:id="rId1"/>
  <colBreaks count="1" manualBreakCount="1">
    <brk id="27" max="64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99CB8-864A-4A9D-AC87-2EFD5EC873D8}">
  <sheetPr codeName="Feuil2"/>
  <dimension ref="A7:J19"/>
  <sheetViews>
    <sheetView workbookViewId="0">
      <selection activeCell="B7" sqref="B7"/>
    </sheetView>
  </sheetViews>
  <sheetFormatPr baseColWidth="10" defaultRowHeight="12.75" x14ac:dyDescent="0.2"/>
  <cols>
    <col min="1" max="16384" width="11.42578125" style="33"/>
  </cols>
  <sheetData>
    <row r="7" spans="1:10" x14ac:dyDescent="0.2">
      <c r="B7" s="33" t="s">
        <v>17</v>
      </c>
      <c r="E7" s="33" t="s">
        <v>41</v>
      </c>
      <c r="H7" s="33" t="s">
        <v>42</v>
      </c>
    </row>
    <row r="8" spans="1:10" ht="15" x14ac:dyDescent="0.2">
      <c r="A8" s="33">
        <v>1</v>
      </c>
      <c r="B8" s="34">
        <v>0</v>
      </c>
      <c r="C8" s="35">
        <v>0</v>
      </c>
      <c r="D8" s="36"/>
      <c r="E8" s="34">
        <v>0</v>
      </c>
      <c r="F8" s="35">
        <v>0</v>
      </c>
      <c r="G8" s="36"/>
      <c r="H8" s="34">
        <v>0</v>
      </c>
      <c r="I8" s="35">
        <v>0</v>
      </c>
      <c r="J8" s="36"/>
    </row>
    <row r="9" spans="1:10" ht="15" x14ac:dyDescent="0.2">
      <c r="A9" s="33">
        <v>2</v>
      </c>
      <c r="B9" s="11">
        <v>0.79800000000000004</v>
      </c>
      <c r="C9" s="35">
        <v>20</v>
      </c>
      <c r="D9" s="36"/>
      <c r="E9" s="11">
        <v>0.111</v>
      </c>
      <c r="F9" s="35">
        <v>20</v>
      </c>
      <c r="G9" s="36"/>
      <c r="H9" s="11">
        <v>0.113</v>
      </c>
      <c r="I9" s="35">
        <v>20</v>
      </c>
      <c r="J9" s="36"/>
    </row>
    <row r="10" spans="1:10" ht="15" x14ac:dyDescent="0.2">
      <c r="A10" s="33">
        <v>3</v>
      </c>
      <c r="B10" s="11">
        <v>4.0949999999999998</v>
      </c>
      <c r="C10" s="35">
        <v>100</v>
      </c>
      <c r="D10" s="36"/>
      <c r="E10" s="11">
        <v>0.64700000000000002</v>
      </c>
      <c r="F10" s="35">
        <v>100</v>
      </c>
      <c r="G10" s="36"/>
      <c r="H10" s="11">
        <v>0.64600000000000002</v>
      </c>
      <c r="I10" s="35">
        <v>100</v>
      </c>
      <c r="J10" s="36"/>
    </row>
    <row r="11" spans="1:10" ht="15" x14ac:dyDescent="0.2">
      <c r="A11" s="33">
        <v>4</v>
      </c>
      <c r="B11" s="11">
        <v>8.1370000000000005</v>
      </c>
      <c r="C11" s="35">
        <v>200</v>
      </c>
      <c r="D11" s="36"/>
      <c r="E11" s="11">
        <v>2.4009999999999998</v>
      </c>
      <c r="F11" s="35">
        <v>300</v>
      </c>
      <c r="G11" s="36"/>
      <c r="H11" s="11">
        <v>2.323</v>
      </c>
      <c r="I11" s="35">
        <v>300</v>
      </c>
      <c r="J11" s="36"/>
    </row>
    <row r="12" spans="1:10" ht="15" x14ac:dyDescent="0.2">
      <c r="A12" s="33">
        <v>5</v>
      </c>
      <c r="B12" s="11">
        <v>12.207000000000001</v>
      </c>
      <c r="C12" s="35">
        <v>300</v>
      </c>
      <c r="D12" s="36"/>
      <c r="E12" s="11">
        <v>4.4710000000000001</v>
      </c>
      <c r="F12" s="35">
        <v>500</v>
      </c>
      <c r="G12" s="36"/>
      <c r="H12" s="11">
        <v>4.2329999999999997</v>
      </c>
      <c r="I12" s="35">
        <v>500</v>
      </c>
      <c r="J12" s="36"/>
    </row>
    <row r="13" spans="1:10" ht="15" x14ac:dyDescent="0.2">
      <c r="A13" s="33">
        <v>6</v>
      </c>
      <c r="B13" s="11">
        <v>16.395</v>
      </c>
      <c r="C13" s="35">
        <v>400</v>
      </c>
      <c r="D13" s="36"/>
      <c r="E13" s="11">
        <v>6.7430000000000003</v>
      </c>
      <c r="F13" s="35">
        <v>700</v>
      </c>
      <c r="G13" s="36"/>
      <c r="H13" s="11">
        <v>6.2750000000000004</v>
      </c>
      <c r="I13" s="35">
        <v>700</v>
      </c>
      <c r="J13" s="36"/>
    </row>
    <row r="14" spans="1:10" ht="15" x14ac:dyDescent="0.2">
      <c r="A14" s="33">
        <v>7</v>
      </c>
      <c r="B14" s="11">
        <v>20.64</v>
      </c>
      <c r="C14" s="35">
        <v>500</v>
      </c>
      <c r="D14" s="36"/>
      <c r="E14" s="11">
        <v>7.95</v>
      </c>
      <c r="F14" s="35">
        <v>800</v>
      </c>
      <c r="G14" s="36"/>
      <c r="H14" s="11">
        <v>7.3449999999999998</v>
      </c>
      <c r="I14" s="35">
        <v>800</v>
      </c>
      <c r="J14" s="36"/>
    </row>
    <row r="15" spans="1:10" ht="15" x14ac:dyDescent="0.2">
      <c r="A15" s="33">
        <v>8</v>
      </c>
      <c r="B15" s="11">
        <v>24.902000000000001</v>
      </c>
      <c r="C15" s="35">
        <v>600</v>
      </c>
      <c r="D15" s="36"/>
      <c r="E15" s="11">
        <v>9.2050000000000001</v>
      </c>
      <c r="F15" s="35">
        <v>900</v>
      </c>
      <c r="G15" s="36"/>
      <c r="H15" s="11">
        <v>8.4489999999999998</v>
      </c>
      <c r="I15" s="35">
        <v>900</v>
      </c>
      <c r="J15" s="36"/>
    </row>
    <row r="16" spans="1:10" ht="15" x14ac:dyDescent="0.2">
      <c r="A16" s="33">
        <v>9</v>
      </c>
      <c r="B16" s="11">
        <v>29.128</v>
      </c>
      <c r="C16" s="35">
        <v>700</v>
      </c>
      <c r="D16" s="36"/>
      <c r="E16" s="11">
        <v>10.506</v>
      </c>
      <c r="F16" s="35">
        <v>1000</v>
      </c>
      <c r="G16" s="36"/>
      <c r="H16" s="11">
        <v>9.5869999999999997</v>
      </c>
      <c r="I16" s="35">
        <v>1000</v>
      </c>
      <c r="J16" s="36"/>
    </row>
    <row r="17" spans="1:10" ht="15" x14ac:dyDescent="0.2">
      <c r="A17" s="33">
        <v>10</v>
      </c>
      <c r="B17" s="11">
        <v>33.277000000000001</v>
      </c>
      <c r="C17" s="35">
        <v>800</v>
      </c>
      <c r="D17" s="36"/>
      <c r="E17" s="11">
        <v>11.85</v>
      </c>
      <c r="F17" s="35">
        <v>1100</v>
      </c>
      <c r="G17" s="36"/>
      <c r="H17" s="11">
        <v>10.757</v>
      </c>
      <c r="I17" s="35">
        <v>1100</v>
      </c>
      <c r="J17" s="36"/>
    </row>
    <row r="18" spans="1:10" ht="15" x14ac:dyDescent="0.2">
      <c r="A18" s="33">
        <v>11</v>
      </c>
      <c r="B18" s="11">
        <v>37.325000000000003</v>
      </c>
      <c r="C18" s="35">
        <v>900</v>
      </c>
      <c r="D18" s="36"/>
      <c r="E18" s="11">
        <v>13.228</v>
      </c>
      <c r="F18" s="35">
        <v>1200</v>
      </c>
      <c r="G18" s="36"/>
      <c r="H18" s="11">
        <v>11.951000000000001</v>
      </c>
      <c r="I18" s="35">
        <v>1200</v>
      </c>
      <c r="J18" s="36"/>
    </row>
    <row r="19" spans="1:10" ht="15" x14ac:dyDescent="0.2">
      <c r="A19" s="33">
        <v>12</v>
      </c>
      <c r="B19" s="11">
        <v>41.268999999999998</v>
      </c>
      <c r="C19" s="35">
        <v>1000</v>
      </c>
      <c r="D19" s="36"/>
      <c r="E19" s="11">
        <v>14.629</v>
      </c>
      <c r="F19" s="35">
        <v>1300</v>
      </c>
      <c r="G19" s="36"/>
      <c r="H19" s="11">
        <v>13.159000000000001</v>
      </c>
      <c r="I19" s="35">
        <v>1300</v>
      </c>
      <c r="J1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TempLine</vt:lpstr>
      <vt:lpstr>Data</vt:lpstr>
      <vt:lpstr>TempLine!Zone_d_impression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Joachim GALIPAUD</dc:creator>
  <cp:keywords/>
  <dc:description/>
  <cp:lastModifiedBy>Pierrick Gonnet</cp:lastModifiedBy>
  <cp:lastPrinted>2019-12-04T10:41:25Z</cp:lastPrinted>
  <dcterms:created xsi:type="dcterms:W3CDTF">2017-12-12T16:13:35Z</dcterms:created>
  <dcterms:modified xsi:type="dcterms:W3CDTF">2019-12-05T13:21:45Z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</Properties>
</file>