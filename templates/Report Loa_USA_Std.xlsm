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2B162D1A-711F-4F1D-BA5B-F829C0159B4D}" xr6:coauthVersionLast="40" xr6:coauthVersionMax="40" xr10:uidLastSave="{00000000-0000-0000-0000-000000000000}"/>
  <bookViews>
    <workbookView minimized="1" xWindow="32685" yWindow="-1485" windowWidth="28800" windowHeight="15435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<sst xmlns="http://schemas.openxmlformats.org/spreadsheetml/2006/main" count="124" uniqueCount="86">
  <si>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</si>
  <si>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</si>
  <si>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</si>
  <si>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</si>
  <si>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</si>
  <si>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</si>
  <si>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</si>
  <si>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</si>
  <si>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</si>
  <si>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</si>
  <si>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</si>
  <si>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</si>
  <si>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</si>
  <si>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</si>
  <si>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</si>
  <si>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</si>
  <si>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</si>
  <si>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</si>
  <si>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</si>
  <si>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</si>
  <si>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</si>
  <si>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</si>
  <si>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</si>
  <si>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</si>
  <si>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</si>
  <si>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</si>
  <si>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</si>
  <si>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</si>
  <si>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</si>
  <si>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Project Instructions:</t>
  </si>
  <si>
    <t>Material identity:</t>
  </si>
  <si>
    <t>Quantity of specimens: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</si>
  <si>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</si>
  <si>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</si>
  <si>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</si>
  <si>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</si>
  <si>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</si>
  <si>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</si>
  <si>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</si>
  <si>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</si>
  <si>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</si>
  <si>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</si>
  <si>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</si>
  <si>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</si>
  <si>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</si>
  <si>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</si>
  <si>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</si>
  <si>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</si>
  <si>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Report N° :</t>
  </si>
  <si>
    <t>AXIAL FATIGUE</t>
  </si>
  <si>
    <t>Results</t>
  </si>
  <si>
    <t>Specimen Prefix</t>
  </si>
  <si>
    <t>Test Number</t>
  </si>
  <si>
    <t>File Number</t>
  </si>
  <si>
    <t>Frame Number</t>
  </si>
  <si>
    <t>Frequency</t>
  </si>
  <si>
    <t>Customer Request</t>
  </si>
  <si>
    <t>Waveform</t>
  </si>
  <si>
    <t>Runout</t>
  </si>
  <si>
    <t>Final Cycle</t>
  </si>
  <si>
    <t>Fracture Location</t>
  </si>
  <si>
    <t xml:space="preserve">Comments:  </t>
  </si>
  <si>
    <t>GRAPHS</t>
  </si>
  <si>
    <t>Load Control</t>
  </si>
  <si>
    <t>Specimen Identification</t>
  </si>
  <si>
    <t>Freq.w/o Extenso.</t>
  </si>
  <si>
    <t>Pas surcharge</t>
  </si>
  <si>
    <t>Requête surcharge</t>
  </si>
  <si>
    <t>Max.</t>
  </si>
  <si>
    <t>Moy</t>
  </si>
  <si>
    <t>Alt</t>
  </si>
  <si>
    <t>Min</t>
  </si>
  <si>
    <t>Nb Surcharge</t>
  </si>
  <si>
    <t>Minimum  Cycle</t>
  </si>
  <si>
    <t>Cycle at last endlevel</t>
  </si>
  <si>
    <t xml:space="preserve">Resultat / ERT </t>
  </si>
  <si>
    <t>Test Hours</t>
  </si>
  <si>
    <t>To:</t>
  </si>
  <si>
    <t>Report N°:</t>
  </si>
  <si>
    <t>Rev:</t>
  </si>
  <si>
    <t>Date:</t>
  </si>
  <si>
    <t>Authorization:</t>
  </si>
  <si>
    <t>Type d'Essai :</t>
  </si>
  <si>
    <t>Load controlled fatigue testing</t>
  </si>
  <si>
    <t>Référence d'Usinage :</t>
  </si>
  <si>
    <t>Specification d'Usinage ::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</si>
</sst>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1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5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28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horizontal="center" vertical="center"/>
    </xf>
    <xf numFmtId="49" fontId="18" fillId="0" borderId="29" xfId="2" applyNumberFormat="1" applyFont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30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164" fontId="18" fillId="0" borderId="29" xfId="2" applyNumberFormat="1" applyFont="1" applyBorder="1" applyAlignment="1">
      <alignment horizontal="center" shrinkToFit="1"/>
    </xf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  <xf numFmtId="49" fontId="32" fillId="0" borderId="0" xfId="0" applyNumberFormat="1" applyFont="1" applyAlignment="1">
      <alignment horizontal="center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F9" sqref="F9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12</v>
      </c>
      <c r="C1" s="69"/>
      <c r="D1" s="69"/>
      <c r="E1" s="69"/>
      <c r="F1" s="69"/>
    </row>
    <row r="2" spans="1:24" ht="16.5" customHeight="1" x14ac:dyDescent="0.2">
      <c r="B2" s="125" t="s">
        <v>63</v>
      </c>
      <c r="C2" s="68"/>
      <c r="D2" s="68"/>
      <c r="E2" s="68"/>
      <c r="F2" s="68"/>
      <c r="O2" s="152" t="s">
        <v>11</v>
      </c>
      <c r="P2" s="152"/>
      <c r="Q2" s="152"/>
      <c r="R2" s="152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2"/>
      <c r="P3" s="152"/>
      <c r="Q3" s="152"/>
      <c r="R3" s="152"/>
      <c r="S3" s="65"/>
      <c r="T3" s="65"/>
      <c r="U3" s="65"/>
      <c r="V3" s="65"/>
      <c r="W3" s="65"/>
      <c r="X3" s="65"/>
    </row>
    <row r="4" spans="1:24" ht="12.75" customHeight="1" x14ac:dyDescent="0.2">
      <c r="O4" s="152"/>
      <c r="P4" s="152"/>
      <c r="Q4" s="152"/>
      <c r="R4" s="152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77</v>
      </c>
      <c r="B5" s="37"/>
      <c r="E5" s="3" t="s">
        <v>78</v>
      </c>
      <c r="F5" s="38"/>
    </row>
    <row r="6" spans="1:24" ht="14.45" customHeight="1" x14ac:dyDescent="0.2">
      <c r="B6" s="37"/>
      <c r="E6" s="3" t="s">
        <v>79</v>
      </c>
      <c r="F6" s="38" t="s">
        <v>46</v>
      </c>
    </row>
    <row r="7" spans="1:24" ht="14.45" customHeight="1" x14ac:dyDescent="0.2">
      <c r="B7" s="37"/>
      <c r="E7" s="3" t="s">
        <v>80</v>
      </c>
      <c r="F7" s="39"/>
      <c r="O7" s="158" t="s">
        <v>9</v>
      </c>
      <c r="P7" s="158"/>
      <c r="Q7" s="158"/>
      <c r="R7" s="158"/>
    </row>
    <row r="8" spans="1:24" ht="14.45" customHeight="1" x14ac:dyDescent="0.2">
      <c r="B8" s="37"/>
      <c r="E8" s="3"/>
      <c r="F8" s="39"/>
      <c r="O8" s="158"/>
      <c r="P8" s="158"/>
      <c r="Q8" s="158"/>
      <c r="R8" s="158"/>
    </row>
    <row r="9" spans="1:24" ht="14.45" customHeight="1" x14ac:dyDescent="0.2">
      <c r="B9" s="37"/>
      <c r="E9" s="3" t="s">
        <v>81</v>
      </c>
      <c r="F9" s="160"/>
      <c r="O9" s="158"/>
      <c r="P9" s="158"/>
      <c r="Q9" s="158"/>
      <c r="R9" s="158"/>
    </row>
    <row r="10" spans="1:24" ht="14.45" customHeight="1" x14ac:dyDescent="0.2">
      <c r="B10" s="40"/>
      <c r="E10" s="41"/>
      <c r="F10" s="37"/>
      <c r="O10" s="158"/>
      <c r="P10" s="158"/>
      <c r="Q10" s="158"/>
      <c r="R10" s="158"/>
    </row>
    <row r="11" spans="1:24" ht="14.45" customHeight="1" x14ac:dyDescent="0.2">
      <c r="B11" s="37"/>
      <c r="E11" s="3"/>
      <c r="F11" s="38"/>
      <c r="O11" s="158"/>
      <c r="P11" s="158"/>
      <c r="Q11" s="158"/>
      <c r="R11" s="158"/>
    </row>
    <row r="12" spans="1:24" ht="14.45" customHeight="1" x14ac:dyDescent="0.2">
      <c r="B12" s="37"/>
      <c r="E12" s="3"/>
      <c r="F12" s="38"/>
      <c r="G12" s="42"/>
      <c r="O12" s="158"/>
      <c r="P12" s="158"/>
      <c r="Q12" s="158"/>
      <c r="R12" s="158"/>
    </row>
    <row r="13" spans="1:24" ht="11.85" customHeight="1" x14ac:dyDescent="0.2">
      <c r="A13" s="43" t="s">
        <v>13</v>
      </c>
      <c r="B13" s="43" t="s">
        <v>14</v>
      </c>
      <c r="C13" s="153" t="s">
        <v>1</v>
      </c>
      <c r="D13" s="154"/>
      <c r="E13" s="154"/>
      <c r="F13" s="154"/>
      <c r="G13" s="154"/>
      <c r="H13" s="155"/>
      <c r="O13" s="158"/>
      <c r="P13" s="158"/>
      <c r="Q13" s="158"/>
      <c r="R13" s="158"/>
    </row>
    <row r="14" spans="1:24" ht="11.85" customHeight="1" x14ac:dyDescent="0.2">
      <c r="A14" s="44"/>
      <c r="B14" s="45"/>
      <c r="C14" s="156"/>
      <c r="D14" s="156"/>
      <c r="E14" s="156"/>
      <c r="F14" s="156"/>
      <c r="G14" s="156"/>
      <c r="H14" s="156"/>
      <c r="O14" s="158"/>
      <c r="P14" s="158"/>
      <c r="Q14" s="158"/>
      <c r="R14" s="158"/>
    </row>
    <row r="15" spans="1:24" ht="11.85" customHeight="1" x14ac:dyDescent="0.2">
      <c r="A15" s="46"/>
      <c r="B15" s="46"/>
      <c r="C15" s="157"/>
      <c r="D15" s="157"/>
      <c r="E15" s="157"/>
      <c r="F15" s="157"/>
      <c r="G15" s="157"/>
      <c r="H15" s="157"/>
      <c r="O15" s="158"/>
      <c r="P15" s="158"/>
      <c r="Q15" s="158"/>
      <c r="R15" s="158"/>
    </row>
    <row r="16" spans="1:24" ht="11.85" customHeight="1" x14ac:dyDescent="0.2">
      <c r="A16" s="47"/>
      <c r="B16" s="46"/>
      <c r="C16" s="148"/>
      <c r="D16" s="148"/>
      <c r="E16" s="148"/>
      <c r="F16" s="148"/>
      <c r="G16" s="148"/>
      <c r="H16" s="148"/>
    </row>
    <row r="17" spans="1:14" ht="12.75" customHeight="1" x14ac:dyDescent="0.2"/>
    <row r="18" spans="1:14" ht="18" customHeight="1" x14ac:dyDescent="0.2">
      <c r="A18" s="80" t="s">
        <v>28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29</v>
      </c>
      <c r="C20" s="149"/>
      <c r="D20" s="149"/>
      <c r="E20" s="149"/>
      <c r="F20" s="149"/>
      <c r="G20" s="149"/>
      <c r="H20" s="149"/>
    </row>
    <row r="21" spans="1:14" ht="12.75" customHeight="1" x14ac:dyDescent="0.2">
      <c r="A21" s="48"/>
      <c r="C21" s="149"/>
      <c r="D21" s="149"/>
      <c r="E21" s="149"/>
      <c r="F21" s="149"/>
      <c r="G21" s="149"/>
      <c r="H21" s="149"/>
    </row>
    <row r="22" spans="1:14" ht="12.75" customHeight="1" x14ac:dyDescent="0.2">
      <c r="A22" s="48"/>
      <c r="B22" s="51" t="s">
        <v>35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30</v>
      </c>
      <c r="C24" s="52"/>
      <c r="D24" s="54"/>
      <c r="E24" s="55"/>
      <c r="F24" s="55"/>
    </row>
    <row r="25" spans="1:14" ht="12.75" customHeight="1" x14ac:dyDescent="0.2">
      <c r="A25" s="49"/>
      <c r="B25" s="56" t="s">
        <v>33</v>
      </c>
      <c r="C25" s="54" t="str">
        <f>IF(K25=0,M25,L25)</f>
        <v xml:space="preserve">Specimens delivered by the customer. </v>
      </c>
      <c r="D25" s="54"/>
      <c r="E25" s="58"/>
      <c r="F25" s="55"/>
      <c r="K25" s="59"/>
      <c r="L25" s="60" t="s">
        <v>40</v>
      </c>
      <c r="M25" s="60" t="s">
        <v>39</v>
      </c>
      <c r="N25" s="59"/>
    </row>
    <row r="26" spans="1:14" ht="12.75" customHeight="1" x14ac:dyDescent="0.2">
      <c r="A26" s="49"/>
      <c r="B26" s="56" t="s">
        <v>84</v>
      </c>
      <c r="C26" s="54"/>
      <c r="D26" s="54"/>
      <c r="E26" s="55"/>
      <c r="F26" s="55"/>
    </row>
    <row r="27" spans="1:14" ht="12.75" customHeight="1" x14ac:dyDescent="0.2">
      <c r="A27" s="49"/>
      <c r="B27" s="56" t="s">
        <v>85</v>
      </c>
      <c r="C27" s="54"/>
      <c r="D27" s="54"/>
      <c r="E27" s="55"/>
      <c r="F27" s="55"/>
    </row>
    <row r="28" spans="1:14" ht="12.75" customHeight="1" x14ac:dyDescent="0.2">
      <c r="A28" s="49"/>
      <c r="B28" s="56" t="s">
        <v>34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41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82</v>
      </c>
      <c r="C32" s="53" t="s">
        <v>83</v>
      </c>
      <c r="D32" s="54"/>
      <c r="E32" s="55"/>
      <c r="F32" s="55"/>
    </row>
    <row r="33" spans="1:13" ht="12.75" customHeight="1" x14ac:dyDescent="0.2">
      <c r="A33" s="78"/>
      <c r="B33" s="56"/>
      <c r="C33" s="54" t="s">
        <v>36</v>
      </c>
      <c r="D33" s="54"/>
      <c r="E33" s="55"/>
      <c r="F33" s="55"/>
    </row>
    <row r="34" spans="1:13" ht="12.75" customHeight="1" x14ac:dyDescent="0.2">
      <c r="A34" s="49"/>
      <c r="B34" s="56"/>
      <c r="C34" s="54" t="s">
        <v>37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38</v>
      </c>
      <c r="D35" s="54"/>
      <c r="E35" s="55"/>
      <c r="F35" s="55"/>
      <c r="K35" s="49"/>
    </row>
    <row r="36" spans="1:13" ht="37.15" customHeight="1" x14ac:dyDescent="0.2">
      <c r="A36" s="49"/>
      <c r="B36" s="50" t="s">
        <v>42</v>
      </c>
      <c r="C36" s="150"/>
      <c r="D36" s="150"/>
      <c r="E36" s="150"/>
      <c r="F36" s="150"/>
      <c r="G36" s="150"/>
    </row>
    <row r="37" spans="1:13" ht="12.75" customHeight="1" x14ac:dyDescent="0.2">
      <c r="A37" s="49"/>
      <c r="B37" s="56" t="s">
        <v>31</v>
      </c>
      <c r="C37" s="52"/>
      <c r="D37" s="54"/>
      <c r="E37" s="55"/>
      <c r="F37" s="55"/>
    </row>
    <row r="38" spans="1:13" ht="12.75" customHeight="1" x14ac:dyDescent="0.2">
      <c r="A38" s="49"/>
      <c r="B38" s="56" t="s">
        <v>32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15</v>
      </c>
      <c r="C40" s="52"/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43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44</v>
      </c>
      <c r="C42" s="151" t="str">
        <f>CONCATENATE("Closed loop servo controlled hydraulic system of ",K42," kN capacity.")</f>
        <v>Closed loop servo controlled hydraulic system of xxx kN capacity.</v>
      </c>
      <c r="D42" s="151"/>
      <c r="E42" s="151"/>
      <c r="F42" s="151"/>
      <c r="G42" s="151"/>
      <c r="H42" s="151"/>
      <c r="K42" s="59" t="s">
        <v>16</v>
      </c>
      <c r="L42" s="62"/>
      <c r="M42" s="62"/>
    </row>
    <row r="43" spans="1:13" ht="12.75" customHeight="1" x14ac:dyDescent="0.2">
      <c r="A43" s="49"/>
      <c r="B43" s="56" t="s">
        <v>45</v>
      </c>
      <c r="C43" s="54" t="str">
        <f>IF(AND(K43=0,L43=0),"NA",CONCATENATE(IF(K43&gt;0,"3 zones radiant furnace",""),IF(AND(K43&gt;0,L43&gt;0)," &amp; ",""),IF(L43&gt;0,"High frequency generator induction","")))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47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 t="s">
        <v>47</v>
      </c>
      <c r="C45" s="63"/>
      <c r="D45" s="54"/>
      <c r="E45" s="54"/>
      <c r="F45" s="54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20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21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17</v>
      </c>
      <c r="C57" s="37"/>
      <c r="D57" s="37"/>
      <c r="E57" s="37"/>
      <c r="F57" s="64" t="s">
        <v>17</v>
      </c>
      <c r="G57" s="49"/>
    </row>
    <row r="58" spans="1:13" ht="12.75" customHeight="1" x14ac:dyDescent="0.2">
      <c r="A58" s="49"/>
      <c r="B58" s="38" t="s">
        <v>18</v>
      </c>
      <c r="C58" s="37"/>
      <c r="D58" s="37"/>
      <c r="E58" s="37"/>
      <c r="F58" s="38" t="s">
        <v>19</v>
      </c>
      <c r="G58" s="49"/>
    </row>
    <row r="59" spans="1:13" ht="12.75" customHeight="1" x14ac:dyDescent="0.2">
      <c r="A59" s="49"/>
      <c r="B59" s="38" t="s">
        <v>23</v>
      </c>
      <c r="C59" s="37"/>
      <c r="D59" s="37"/>
      <c r="E59" s="37"/>
      <c r="F59" s="38" t="s">
        <v>24</v>
      </c>
      <c r="G59" s="49"/>
    </row>
    <row r="60" spans="1:13" ht="12.75" customHeight="1" x14ac:dyDescent="0.2">
      <c r="A60" s="76" t="s">
        <v>25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26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27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20">
    <cfRule type="expression" dxfId="2" priority="3">
      <formula>$C$20=""</formula>
    </cfRule>
  </conditionalFormatting>
  <conditionalFormatting sqref="B44">
    <cfRule type="expression" dxfId="1" priority="2">
      <formula>$C$45=""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topLeftCell="A8" zoomScale="130" zoomScaleNormal="100" zoomScaleSheetLayoutView="130" workbookViewId="0">
      <pane xSplit="3" topLeftCell="D1" activePane="topRight" state="frozen"/>
      <selection activeCell="E8" sqref="E8"/>
      <selection pane="topRight" activeCell="A10" sqref="A10:D53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48</v>
      </c>
    </row>
    <row r="2" spans="1:28" s="1" customFormat="1" ht="24.4" customHeight="1" x14ac:dyDescent="0.35">
      <c r="B2" s="2"/>
      <c r="C2" s="2"/>
      <c r="D2" s="79" t="s">
        <v>49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59"/>
      <c r="E6" s="159"/>
      <c r="F6" s="159"/>
      <c r="G6" s="159"/>
      <c r="H6" s="159"/>
      <c r="I6" s="159"/>
      <c r="J6" s="159"/>
      <c r="K6" s="159"/>
      <c r="L6" s="159"/>
      <c r="M6" s="159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50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4.1" customHeight="1" x14ac:dyDescent="0.15"/>
    <row r="10" spans="1:28" ht="14.1" customHeight="1" x14ac:dyDescent="0.2">
      <c r="A10" s="20" t="s">
        <v>51</v>
      </c>
      <c r="B10" s="82"/>
      <c r="C10" s="83" t="s">
        <v>0</v>
      </c>
      <c r="D10" s="84"/>
    </row>
    <row r="11" spans="1:28" ht="14.1" customHeight="1" x14ac:dyDescent="0.2">
      <c r="A11" s="85" t="s">
        <v>64</v>
      </c>
      <c r="B11" s="82"/>
      <c r="C11" s="83" t="s">
        <v>0</v>
      </c>
      <c r="D11" s="84"/>
    </row>
    <row r="12" spans="1:28" ht="14.1" customHeight="1" x14ac:dyDescent="0.2">
      <c r="A12" s="21" t="s">
        <v>52</v>
      </c>
      <c r="B12" s="22"/>
      <c r="C12" s="86" t="s">
        <v>0</v>
      </c>
      <c r="D12" s="87"/>
    </row>
    <row r="13" spans="1:28" ht="14.1" customHeight="1" x14ac:dyDescent="0.2">
      <c r="A13" s="21" t="s">
        <v>53</v>
      </c>
      <c r="B13" s="22"/>
      <c r="C13" s="22" t="s">
        <v>0</v>
      </c>
      <c r="D13" s="87"/>
    </row>
    <row r="14" spans="1:28" ht="14.1" customHeight="1" x14ac:dyDescent="0.2">
      <c r="A14" s="21" t="s">
        <v>54</v>
      </c>
      <c r="B14" s="22"/>
      <c r="C14" s="22" t="s">
        <v>0</v>
      </c>
      <c r="D14" s="87"/>
    </row>
    <row r="15" spans="1:28" ht="14.1" customHeight="1" x14ac:dyDescent="0.2">
      <c r="A15" s="21" t="s">
        <v>14</v>
      </c>
      <c r="B15" s="22"/>
      <c r="C15" s="22"/>
      <c r="D15" s="88"/>
    </row>
    <row r="16" spans="1:28" ht="14.1" customHeight="1" x14ac:dyDescent="0.2">
      <c r="A16" s="89" t="s">
        <v>2</v>
      </c>
      <c r="B16" s="22"/>
      <c r="C16" s="90" t="s">
        <v>3</v>
      </c>
      <c r="D16" s="87"/>
    </row>
    <row r="17" spans="1:4" ht="14.1" customHeight="1" x14ac:dyDescent="0.2">
      <c r="A17" s="21" t="s">
        <v>55</v>
      </c>
      <c r="B17" s="22"/>
      <c r="C17" s="90" t="s">
        <v>4</v>
      </c>
      <c r="D17" s="87"/>
    </row>
    <row r="18" spans="1:4" ht="14.1" hidden="1" customHeight="1" x14ac:dyDescent="0.2">
      <c r="A18" s="21" t="s">
        <v>65</v>
      </c>
      <c r="B18" s="22"/>
      <c r="C18" s="90" t="s">
        <v>4</v>
      </c>
      <c r="D18" s="87"/>
    </row>
    <row r="19" spans="1:4" ht="14.1" customHeight="1" x14ac:dyDescent="0.2">
      <c r="A19" s="91"/>
      <c r="B19" s="92" t="s">
        <v>56</v>
      </c>
      <c r="C19" s="93" t="s">
        <v>0</v>
      </c>
      <c r="D19" s="97"/>
    </row>
    <row r="20" spans="1:4" ht="14.1" customHeight="1" thickBot="1" x14ac:dyDescent="0.25">
      <c r="A20" s="91"/>
      <c r="B20" s="92" t="s">
        <v>56</v>
      </c>
      <c r="C20" s="93" t="s">
        <v>0</v>
      </c>
      <c r="D20" s="94"/>
    </row>
    <row r="21" spans="1:4" ht="14.1" hidden="1" customHeight="1" x14ac:dyDescent="0.2">
      <c r="A21" s="126" t="s">
        <v>66</v>
      </c>
      <c r="B21" s="127"/>
      <c r="C21" s="128" t="s">
        <v>0</v>
      </c>
      <c r="D21" s="129"/>
    </row>
    <row r="22" spans="1:4" ht="14.1" hidden="1" customHeight="1" x14ac:dyDescent="0.2">
      <c r="A22" s="130" t="s">
        <v>67</v>
      </c>
      <c r="B22" s="131"/>
      <c r="C22" s="132" t="s">
        <v>0</v>
      </c>
      <c r="D22" s="133"/>
    </row>
    <row r="23" spans="1:4" ht="14.1" customHeight="1" x14ac:dyDescent="0.2">
      <c r="A23" s="134" t="s">
        <v>57</v>
      </c>
      <c r="B23" s="135"/>
      <c r="C23" s="136" t="s">
        <v>0</v>
      </c>
      <c r="D23" s="137"/>
    </row>
    <row r="24" spans="1:4" ht="14.1" customHeight="1" x14ac:dyDescent="0.2">
      <c r="A24" s="21" t="s">
        <v>5</v>
      </c>
      <c r="B24" s="22"/>
      <c r="C24" s="90" t="s">
        <v>6</v>
      </c>
      <c r="D24" s="98"/>
    </row>
    <row r="25" spans="1:4" ht="14.1" customHeight="1" x14ac:dyDescent="0.2">
      <c r="A25" s="21" t="s">
        <v>5</v>
      </c>
      <c r="B25" s="22"/>
      <c r="C25" s="90" t="s">
        <v>6</v>
      </c>
      <c r="D25" s="98"/>
    </row>
    <row r="26" spans="1:4" ht="14.1" customHeight="1" thickBot="1" x14ac:dyDescent="0.25">
      <c r="A26" s="99" t="s">
        <v>5</v>
      </c>
      <c r="B26" s="100"/>
      <c r="C26" s="101" t="s">
        <v>6</v>
      </c>
      <c r="D26" s="102"/>
    </row>
    <row r="27" spans="1:4" ht="14.1" hidden="1" customHeight="1" x14ac:dyDescent="0.2">
      <c r="A27" s="21"/>
      <c r="B27" s="103"/>
      <c r="C27" s="90"/>
      <c r="D27" s="104"/>
    </row>
    <row r="28" spans="1:4" ht="14.1" hidden="1" customHeight="1" x14ac:dyDescent="0.2">
      <c r="A28" s="21"/>
      <c r="B28" s="103"/>
      <c r="C28" s="90"/>
      <c r="D28" s="104"/>
    </row>
    <row r="29" spans="1:4" ht="14.1" hidden="1" customHeight="1" x14ac:dyDescent="0.2">
      <c r="A29" s="138"/>
      <c r="B29" s="139"/>
      <c r="C29" s="140"/>
      <c r="D29" s="141"/>
    </row>
    <row r="30" spans="1:4" ht="14.1" customHeight="1" x14ac:dyDescent="0.2">
      <c r="A30" s="142" t="s">
        <v>10</v>
      </c>
      <c r="B30" s="143" t="s">
        <v>68</v>
      </c>
      <c r="C30" s="136" t="s">
        <v>22</v>
      </c>
      <c r="D30" s="144"/>
    </row>
    <row r="31" spans="1:4" ht="14.1" customHeight="1" x14ac:dyDescent="0.2">
      <c r="A31" s="105" t="s">
        <v>10</v>
      </c>
      <c r="B31" s="106" t="s">
        <v>69</v>
      </c>
      <c r="C31" s="90" t="s">
        <v>22</v>
      </c>
      <c r="D31" s="104"/>
    </row>
    <row r="32" spans="1:4" ht="14.1" customHeight="1" x14ac:dyDescent="0.2">
      <c r="A32" s="105" t="s">
        <v>10</v>
      </c>
      <c r="B32" s="106" t="s">
        <v>70</v>
      </c>
      <c r="C32" s="90" t="s">
        <v>22</v>
      </c>
      <c r="D32" s="104"/>
    </row>
    <row r="33" spans="1:4" ht="14.1" customHeight="1" thickBot="1" x14ac:dyDescent="0.25">
      <c r="A33" s="107" t="s">
        <v>10</v>
      </c>
      <c r="B33" s="108" t="s">
        <v>71</v>
      </c>
      <c r="C33" s="101" t="s">
        <v>22</v>
      </c>
      <c r="D33" s="109"/>
    </row>
    <row r="34" spans="1:4" ht="14.1" hidden="1" customHeight="1" x14ac:dyDescent="0.2">
      <c r="A34" s="110"/>
      <c r="B34" s="111"/>
      <c r="C34" s="112"/>
      <c r="D34" s="23"/>
    </row>
    <row r="35" spans="1:4" ht="14.1" hidden="1" customHeight="1" thickBot="1" x14ac:dyDescent="0.25">
      <c r="A35" s="110"/>
      <c r="B35" s="111"/>
      <c r="C35" s="112"/>
      <c r="D35" s="23"/>
    </row>
    <row r="36" spans="1:4" ht="14.1" hidden="1" customHeight="1" x14ac:dyDescent="0.2">
      <c r="A36" s="110"/>
      <c r="B36" s="111"/>
      <c r="C36" s="112"/>
      <c r="D36" s="23"/>
    </row>
    <row r="37" spans="1:4" ht="14.1" hidden="1" customHeight="1" x14ac:dyDescent="0.2">
      <c r="A37" s="110"/>
      <c r="B37" s="111"/>
      <c r="C37" s="112"/>
      <c r="D37" s="23"/>
    </row>
    <row r="38" spans="1:4" ht="14.1" hidden="1" customHeight="1" x14ac:dyDescent="0.2">
      <c r="A38" s="110"/>
      <c r="B38" s="111"/>
      <c r="C38" s="112"/>
      <c r="D38" s="23"/>
    </row>
    <row r="39" spans="1:4" ht="14.1" hidden="1" customHeight="1" x14ac:dyDescent="0.2">
      <c r="A39" s="110"/>
      <c r="B39" s="111"/>
      <c r="C39" s="112"/>
      <c r="D39" s="23"/>
    </row>
    <row r="40" spans="1:4" ht="14.1" hidden="1" customHeight="1" x14ac:dyDescent="0.2">
      <c r="A40" s="110"/>
      <c r="B40" s="111"/>
      <c r="C40" s="112"/>
      <c r="D40" s="23"/>
    </row>
    <row r="41" spans="1:4" ht="14.1" hidden="1" customHeight="1" x14ac:dyDescent="0.2">
      <c r="A41" s="110"/>
      <c r="B41" s="111"/>
      <c r="C41" s="112"/>
      <c r="D41" s="23"/>
    </row>
    <row r="42" spans="1:4" ht="14.1" hidden="1" customHeight="1" x14ac:dyDescent="0.2">
      <c r="A42" s="110"/>
      <c r="B42" s="111"/>
      <c r="C42" s="112"/>
      <c r="D42" s="23"/>
    </row>
    <row r="43" spans="1:4" ht="14.1" hidden="1" customHeight="1" x14ac:dyDescent="0.2">
      <c r="A43" s="110"/>
      <c r="B43" s="111"/>
      <c r="C43" s="112"/>
      <c r="D43" s="23"/>
    </row>
    <row r="44" spans="1:4" ht="14.1" hidden="1" customHeight="1" x14ac:dyDescent="0.2">
      <c r="A44" s="110"/>
      <c r="B44" s="111"/>
      <c r="C44" s="112"/>
      <c r="D44" s="23"/>
    </row>
    <row r="45" spans="1:4" ht="14.1" hidden="1" customHeight="1" x14ac:dyDescent="0.2">
      <c r="A45" s="110"/>
      <c r="B45" s="111"/>
      <c r="C45" s="112"/>
      <c r="D45" s="23"/>
    </row>
    <row r="46" spans="1:4" ht="14.1" hidden="1" customHeight="1" x14ac:dyDescent="0.2">
      <c r="A46" s="113" t="s">
        <v>72</v>
      </c>
      <c r="B46" s="114"/>
      <c r="C46" s="115" t="s">
        <v>0</v>
      </c>
      <c r="D46" s="116"/>
    </row>
    <row r="47" spans="1:4" ht="14.1" customHeight="1" x14ac:dyDescent="0.2">
      <c r="A47" s="117" t="s">
        <v>58</v>
      </c>
      <c r="B47" s="118"/>
      <c r="C47" s="119" t="s">
        <v>0</v>
      </c>
      <c r="D47" s="145"/>
    </row>
    <row r="48" spans="1:4" ht="14.1" hidden="1" customHeight="1" thickBot="1" x14ac:dyDescent="0.25">
      <c r="A48" s="95" t="s">
        <v>73</v>
      </c>
      <c r="B48" s="96"/>
      <c r="C48" s="93" t="s">
        <v>0</v>
      </c>
      <c r="D48" s="146"/>
    </row>
    <row r="49" spans="1:103" ht="14.1" customHeight="1" x14ac:dyDescent="0.2">
      <c r="A49" s="85" t="s">
        <v>59</v>
      </c>
      <c r="B49" s="82"/>
      <c r="C49" s="83" t="s">
        <v>0</v>
      </c>
      <c r="D49" s="147"/>
    </row>
    <row r="50" spans="1:103" ht="14.1" hidden="1" customHeight="1" x14ac:dyDescent="0.2">
      <c r="A50" s="85" t="s">
        <v>74</v>
      </c>
      <c r="B50" s="82"/>
      <c r="C50" s="83"/>
      <c r="D50" s="84"/>
    </row>
    <row r="51" spans="1:103" ht="14.1" customHeight="1" x14ac:dyDescent="0.2">
      <c r="A51" s="89" t="s">
        <v>75</v>
      </c>
      <c r="B51" s="22"/>
      <c r="C51" s="90" t="s">
        <v>7</v>
      </c>
      <c r="D51" s="87"/>
    </row>
    <row r="52" spans="1:103" ht="14.1" customHeight="1" x14ac:dyDescent="0.2">
      <c r="A52" s="21" t="s">
        <v>60</v>
      </c>
      <c r="B52" s="22"/>
      <c r="C52" s="22" t="s">
        <v>0</v>
      </c>
      <c r="D52" s="87"/>
    </row>
    <row r="53" spans="1:103" ht="14.1" customHeight="1" x14ac:dyDescent="0.2">
      <c r="A53" s="89" t="s">
        <v>76</v>
      </c>
      <c r="B53" s="22"/>
      <c r="C53" s="90" t="s">
        <v>8</v>
      </c>
      <c r="D53" s="120"/>
    </row>
    <row r="54" spans="1:103" s="16" customFormat="1" ht="14.1" hidden="1" customHeight="1" x14ac:dyDescent="0.2">
      <c r="A54" s="121"/>
      <c r="B54" s="122"/>
      <c r="C54" s="123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4.1" customHeight="1" x14ac:dyDescent="0.25"/>
    <row r="60" spans="1:103" s="24" customFormat="1" ht="18" customHeight="1" x14ac:dyDescent="0.25">
      <c r="A60" s="124" t="s">
        <v>61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48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62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50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2019-03-07T15:13:30Z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