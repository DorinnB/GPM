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A7200373-F598-43F5-A36A-F111CA533608}" xr6:coauthVersionLast="40" xr6:coauthVersionMax="40" xr10:uidLastSave="{00000000-0000-0000-0000-000000000000}"/>
  <bookViews>
    <workbookView minimized="1" xWindow="0" yWindow="0" windowWidth="28800" windowHeight="1321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<sst xmlns="http://schemas.openxmlformats.org/spreadsheetml/2006/main" count="124" uniqueCount="86">
  <si>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</si>
  <si>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</si>
  <si>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</si>
  <si>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</si>
  <si>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</si>
  <si>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</si>
  <si>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</si>
  <si>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</si>
  <si>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</si>
  <si>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</si>
  <si>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</si>
  <si>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</si>
  <si>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</si>
  <si>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</si>
  <si>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</si>
  <si>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</si>
  <si>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</si>
  <si>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</si>
  <si>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</si>
  <si>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</si>
  <si>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</si>
  <si>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</si>
  <si>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</si>
  <si>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</si>
  <si>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</si>
  <si>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</si>
  <si>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</si>
  <si>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</si>
  <si>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</si>
  <si>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</si>
  <si>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</si>
  <si>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</si>
  <si>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</si>
  <si>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</si>
  <si>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Machining Reference:</t>
  </si>
  <si>
    <t>Machining Specification: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</si>
  <si>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</si>
  <si>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</si>
  <si>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</si>
  <si>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</si>
  <si>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</si>
  <si>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</si>
  <si>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</si>
  <si>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</si>
  <si>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</si>
  <si>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</si>
  <si>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</si>
  <si>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</si>
  <si>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</si>
  <si>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</si>
  <si>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</si>
  <si>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</si>
  <si>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</si>
  <si>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</si>
  <si>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</si>
  <si>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</si>
  <si>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</si>
  <si>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</si>
  <si>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</si>
  <si>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</si>
  <si>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</si>
  <si>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</si>
  <si>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</si>
  <si>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</si>
  <si>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</si>
  <si>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</si>
  <si>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</si>
  <si>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</si>
  <si>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</si>
  <si>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</si>
  <si>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</si>
  <si>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</si>
  <si>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</si>
  <si>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</si>
  <si>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</si>
  <si>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</si>
  <si>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</si>
  <si>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</si>
  <si>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</si>
  <si>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</si>
  <si>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</si>
  <si>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</si>
  <si>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</si>
  <si>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</si>
  <si>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Type d'Essai :</t>
  </si>
  <si>
    <t>Load controlled fatigue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</si>
</sst>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4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vertical="center"/>
    </xf>
    <xf numFmtId="164" fontId="20" fillId="0" borderId="4" xfId="0" applyNumberFormat="1" applyFont="1" applyFill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0" fontId="12" fillId="0" borderId="0" xfId="5" applyFont="1" applyFill="1" applyAlignment="1">
      <alignment horizontal="right"/>
    </xf>
    <xf numFmtId="0" fontId="23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2" fillId="0" borderId="0" xfId="5" applyFont="1" applyFill="1"/>
    <xf numFmtId="49" fontId="25" fillId="0" borderId="0" xfId="5" applyNumberFormat="1" applyFont="1" applyFill="1" applyAlignment="1">
      <alignment horizontal="center"/>
    </xf>
    <xf numFmtId="49" fontId="26" fillId="0" borderId="0" xfId="5" applyNumberFormat="1" applyFont="1" applyFill="1" applyAlignment="1">
      <alignment horizontal="center"/>
    </xf>
    <xf numFmtId="49" fontId="2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Fill="1" applyAlignment="1">
      <alignment horizontal="center"/>
    </xf>
    <xf numFmtId="0" fontId="30" fillId="0" borderId="0" xfId="0" applyFont="1"/>
    <xf numFmtId="0" fontId="30" fillId="0" borderId="0" xfId="0" applyFont="1" applyBorder="1"/>
    <xf numFmtId="0" fontId="34" fillId="0" borderId="0" xfId="0" applyFont="1"/>
    <xf numFmtId="0" fontId="32" fillId="0" borderId="0" xfId="0" applyFont="1" applyBorder="1" applyAlignment="1"/>
    <xf numFmtId="0" fontId="2" fillId="0" borderId="0" xfId="0" applyFont="1" applyBorder="1" applyAlignment="1">
      <alignment horizontal="right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2" fillId="0" borderId="0" xfId="0" applyFont="1" applyBorder="1"/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24" fillId="0" borderId="8" xfId="0" applyFont="1" applyBorder="1" applyAlignment="1"/>
    <xf numFmtId="0" fontId="37" fillId="0" borderId="8" xfId="0" applyFont="1" applyBorder="1"/>
    <xf numFmtId="0" fontId="39" fillId="0" borderId="0" xfId="0" applyFont="1" applyAlignment="1"/>
    <xf numFmtId="0" fontId="32" fillId="0" borderId="0" xfId="0" applyFont="1" applyAlignment="1"/>
    <xf numFmtId="0" fontId="1" fillId="0" borderId="0" xfId="0" applyFont="1" applyAlignme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 applyAlignment="1"/>
    <xf numFmtId="0" fontId="24" fillId="0" borderId="0" xfId="0" applyFont="1" applyAlignment="1"/>
    <xf numFmtId="0" fontId="16" fillId="0" borderId="0" xfId="0" applyFont="1" applyAlignment="1"/>
    <xf numFmtId="0" fontId="36" fillId="0" borderId="0" xfId="0" applyFont="1"/>
    <xf numFmtId="0" fontId="36" fillId="0" borderId="0" xfId="0" applyFont="1" applyAlignment="1"/>
    <xf numFmtId="0" fontId="41" fillId="0" borderId="0" xfId="0" applyFont="1" applyAlignme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4" fillId="0" borderId="0" xfId="0" applyFont="1" applyAlignment="1"/>
    <xf numFmtId="0" fontId="45" fillId="0" borderId="0" xfId="0" applyFont="1" applyAlignment="1"/>
    <xf numFmtId="0" fontId="24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32" fillId="0" borderId="0" xfId="0" applyFont="1" applyAlignment="1">
      <alignment horizontal="center"/>
    </xf>
    <xf numFmtId="0" fontId="28" fillId="0" borderId="0" xfId="4" quotePrefix="1" applyFont="1" applyFill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Continuous" vertical="center"/>
    </xf>
    <xf numFmtId="0" fontId="49" fillId="0" borderId="0" xfId="0" applyFont="1" applyBorder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vertical="center"/>
    </xf>
    <xf numFmtId="49" fontId="18" fillId="0" borderId="1" xfId="2" applyNumberFormat="1" applyFont="1" applyFill="1" applyBorder="1" applyAlignment="1">
      <alignment horizontal="center" vertical="center" shrinkToFit="1"/>
    </xf>
    <xf numFmtId="165" fontId="18" fillId="0" borderId="1" xfId="2" applyNumberFormat="1" applyFont="1" applyFill="1" applyBorder="1" applyAlignment="1">
      <alignment horizontal="center" vertical="center" shrinkToFit="1"/>
    </xf>
    <xf numFmtId="49" fontId="21" fillId="0" borderId="2" xfId="2" quotePrefix="1" applyNumberFormat="1" applyFont="1" applyFill="1" applyBorder="1" applyAlignment="1">
      <alignment horizontal="left" vertical="center"/>
    </xf>
    <xf numFmtId="49" fontId="21" fillId="0" borderId="3" xfId="2" applyNumberFormat="1" applyFont="1" applyFill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horizontal="center" vertical="center"/>
    </xf>
    <xf numFmtId="49" fontId="18" fillId="0" borderId="18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Fill="1" applyBorder="1" applyAlignment="1">
      <alignment horizontal="center" vertical="center" shrinkToFit="1"/>
    </xf>
    <xf numFmtId="49" fontId="21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right" vertical="center"/>
    </xf>
    <xf numFmtId="49" fontId="21" fillId="0" borderId="16" xfId="2" applyNumberFormat="1" applyFont="1" applyFill="1" applyBorder="1" applyAlignment="1">
      <alignment horizontal="center" vertical="center"/>
    </xf>
    <xf numFmtId="168" fontId="18" fillId="0" borderId="19" xfId="2" applyNumberFormat="1" applyFont="1" applyFill="1" applyBorder="1" applyAlignment="1">
      <alignment horizontal="center" vertical="center" shrinkToFit="1"/>
    </xf>
    <xf numFmtId="49" fontId="21" fillId="0" borderId="3" xfId="2" quotePrefix="1" applyNumberFormat="1" applyFont="1" applyFill="1" applyBorder="1" applyAlignment="1">
      <alignment horizontal="right" vertical="center"/>
    </xf>
    <xf numFmtId="164" fontId="18" fillId="0" borderId="1" xfId="2" applyNumberFormat="1" applyFont="1" applyFill="1" applyBorder="1" applyAlignment="1">
      <alignment horizontal="center" vertical="center" shrinkToFit="1"/>
    </xf>
    <xf numFmtId="49" fontId="21" fillId="0" borderId="3" xfId="2" applyNumberFormat="1" applyFont="1" applyFill="1" applyBorder="1" applyAlignment="1">
      <alignment horizontal="right" vertical="center"/>
    </xf>
    <xf numFmtId="2" fontId="18" fillId="0" borderId="1" xfId="2" applyNumberFormat="1" applyFont="1" applyFill="1" applyBorder="1" applyAlignment="1">
      <alignment horizontal="center" vertical="center" shrinkToFit="1"/>
    </xf>
    <xf numFmtId="49" fontId="59" fillId="0" borderId="17" xfId="2" applyNumberFormat="1" applyFont="1" applyFill="1" applyBorder="1" applyAlignment="1">
      <alignment vertical="center"/>
    </xf>
    <xf numFmtId="49" fontId="21" fillId="0" borderId="12" xfId="2" quotePrefix="1" applyNumberFormat="1" applyFont="1" applyFill="1" applyBorder="1" applyAlignment="1">
      <alignment horizontal="left" vertical="center"/>
    </xf>
    <xf numFmtId="164" fontId="18" fillId="0" borderId="18" xfId="2" applyNumberFormat="1" applyFont="1" applyFill="1" applyBorder="1" applyAlignment="1">
      <alignment horizontal="center" shrinkToFit="1"/>
    </xf>
    <xf numFmtId="49" fontId="59" fillId="0" borderId="2" xfId="2" applyNumberFormat="1" applyFont="1" applyFill="1" applyBorder="1" applyAlignment="1">
      <alignment vertical="center"/>
    </xf>
    <xf numFmtId="49" fontId="21" fillId="0" borderId="3" xfId="2" quotePrefix="1" applyNumberFormat="1" applyFont="1" applyFill="1" applyBorder="1" applyAlignment="1">
      <alignment horizontal="left" vertical="center"/>
    </xf>
    <xf numFmtId="49" fontId="59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left" vertical="center"/>
    </xf>
    <xf numFmtId="164" fontId="18" fillId="0" borderId="19" xfId="2" applyNumberFormat="1" applyFont="1" applyFill="1" applyBorder="1" applyAlignment="1">
      <alignment horizontal="center" vertical="center" shrinkToFit="1"/>
    </xf>
    <xf numFmtId="166" fontId="20" fillId="0" borderId="6" xfId="0" applyNumberFormat="1" applyFont="1" applyFill="1" applyBorder="1"/>
    <xf numFmtId="166" fontId="20" fillId="0" borderId="7" xfId="0" applyNumberFormat="1" applyFont="1" applyFill="1" applyBorder="1"/>
    <xf numFmtId="166" fontId="20" fillId="0" borderId="20" xfId="0" applyNumberFormat="1" applyFont="1" applyFill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49" fontId="18" fillId="0" borderId="1" xfId="2" applyNumberFormat="1" applyFont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Border="1" applyAlignment="1">
      <alignment horizontal="center" vertical="center"/>
    </xf>
    <xf numFmtId="49" fontId="16" fillId="0" borderId="0" xfId="2" applyNumberFormat="1" applyFont="1" applyBorder="1" applyAlignment="1">
      <alignment horizontal="center" vertical="center"/>
    </xf>
    <xf numFmtId="49" fontId="1" fillId="0" borderId="0" xfId="2" applyNumberFormat="1" applyFont="1" applyBorder="1" applyAlignment="1">
      <alignment horizontal="center" vertical="center"/>
    </xf>
    <xf numFmtId="49" fontId="60" fillId="0" borderId="0" xfId="2" applyNumberFormat="1" applyFont="1" applyFill="1" applyAlignment="1">
      <alignment horizontal="left" vertical="top"/>
    </xf>
    <xf numFmtId="0" fontId="24" fillId="0" borderId="0" xfId="0" applyFont="1" applyAlignment="1">
      <alignment horizontal="left" shrinkToFit="1"/>
    </xf>
    <xf numFmtId="0" fontId="47" fillId="0" borderId="0" xfId="4" quotePrefix="1" applyFont="1" applyFill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33" fillId="0" borderId="0" xfId="4" quotePrefix="1" applyFont="1" applyFill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166" fontId="15" fillId="0" borderId="0" xfId="2" applyFont="1" applyFill="1" applyAlignment="1">
      <alignment horizontal="left" vertical="top" wrapText="1"/>
    </xf>
    <xf numFmtId="0" fontId="61" fillId="0" borderId="0" xfId="0" applyFont="1" applyBorder="1" applyAlignment="1">
      <alignment horizontal="centerContinuous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A18" sqref="A18:XFD45"/>
    </sheetView>
  </sheetViews>
  <sheetFormatPr baseColWidth="10" defaultColWidth="10.7109375" defaultRowHeight="12.75" x14ac:dyDescent="0.2"/>
  <cols>
    <col min="1" max="1" width="6.5703125" style="36" customWidth="1"/>
    <col min="2" max="2" width="21.7109375" style="36" bestFit="1" customWidth="1"/>
    <col min="3" max="3" width="11.28515625" style="36" customWidth="1"/>
    <col min="4" max="4" width="19.85546875" style="36" customWidth="1"/>
    <col min="5" max="5" width="11.28515625" style="36" customWidth="1"/>
    <col min="6" max="6" width="21.7109375" style="36" customWidth="1"/>
    <col min="7" max="8" width="3.28515625" style="36" customWidth="1"/>
    <col min="9" max="10" width="4.7109375" style="36" customWidth="1"/>
    <col min="11" max="13" width="10.7109375" style="36" customWidth="1"/>
    <col min="14" max="14" width="4.7109375" style="36" customWidth="1"/>
    <col min="15" max="16384" width="10.7109375" style="36"/>
  </cols>
  <sheetData>
    <row r="1" spans="1:24" ht="30.75" customHeight="1" x14ac:dyDescent="0.2">
      <c r="B1" s="80" t="s">
        <v>12</v>
      </c>
      <c r="C1" s="80"/>
      <c r="D1" s="80"/>
      <c r="E1" s="80"/>
      <c r="F1" s="80"/>
    </row>
    <row r="2" spans="1:24" ht="16.5" customHeight="1" x14ac:dyDescent="0.2">
      <c r="B2" s="163" t="s">
        <v>65</v>
      </c>
      <c r="C2" s="79"/>
      <c r="D2" s="79"/>
      <c r="E2" s="79"/>
      <c r="F2" s="79"/>
      <c r="O2" s="152" t="s">
        <v>11</v>
      </c>
      <c r="P2" s="152"/>
      <c r="Q2" s="152"/>
      <c r="R2" s="152"/>
      <c r="S2" s="76"/>
      <c r="T2" s="76"/>
      <c r="U2" s="76"/>
      <c r="V2" s="76"/>
      <c r="W2" s="76"/>
      <c r="X2" s="76"/>
    </row>
    <row r="3" spans="1:24" ht="16.5" customHeight="1" x14ac:dyDescent="0.2">
      <c r="B3" s="78"/>
      <c r="C3" s="78"/>
      <c r="D3" s="78"/>
      <c r="E3" s="78"/>
      <c r="F3" s="78"/>
      <c r="O3" s="152"/>
      <c r="P3" s="152"/>
      <c r="Q3" s="152"/>
      <c r="R3" s="152"/>
      <c r="S3" s="76"/>
      <c r="T3" s="76"/>
      <c r="U3" s="76"/>
      <c r="V3" s="76"/>
      <c r="W3" s="76"/>
      <c r="X3" s="76"/>
    </row>
    <row r="4" spans="1:24" ht="12.75" customHeight="1" x14ac:dyDescent="0.2">
      <c r="B4" s="37"/>
      <c r="C4" s="37"/>
      <c r="D4" s="37"/>
      <c r="E4" s="37"/>
      <c r="F4" s="37"/>
      <c r="O4" s="152"/>
      <c r="P4" s="152"/>
      <c r="Q4" s="152"/>
      <c r="R4" s="152"/>
      <c r="S4" s="76"/>
      <c r="T4" s="76"/>
      <c r="U4" s="76"/>
      <c r="V4" s="76"/>
      <c r="W4" s="76"/>
      <c r="X4" s="76"/>
    </row>
    <row r="5" spans="1:24" ht="14.45" customHeight="1" x14ac:dyDescent="0.2">
      <c r="A5" s="38" t="s">
        <v>79</v>
      </c>
      <c r="B5" s="39"/>
      <c r="C5" s="37"/>
      <c r="D5" s="37"/>
      <c r="E5" s="40" t="s">
        <v>80</v>
      </c>
      <c r="F5" s="41"/>
    </row>
    <row r="6" spans="1:24" ht="14.45" customHeight="1" x14ac:dyDescent="0.2">
      <c r="B6" s="39"/>
      <c r="C6" s="37"/>
      <c r="D6" s="37"/>
      <c r="E6" s="40" t="s">
        <v>81</v>
      </c>
      <c r="F6" s="41" t="s">
        <v>48</v>
      </c>
    </row>
    <row r="7" spans="1:24" ht="14.45" customHeight="1" x14ac:dyDescent="0.2">
      <c r="B7" s="39"/>
      <c r="C7" s="37"/>
      <c r="D7" s="37"/>
      <c r="E7" s="40" t="s">
        <v>82</v>
      </c>
      <c r="F7" s="42"/>
      <c r="O7" s="159" t="s">
        <v>9</v>
      </c>
      <c r="P7" s="159"/>
      <c r="Q7" s="159"/>
      <c r="R7" s="159"/>
    </row>
    <row r="8" spans="1:24" ht="14.45" customHeight="1" x14ac:dyDescent="0.2">
      <c r="B8" s="39"/>
      <c r="C8" s="37"/>
      <c r="D8" s="37"/>
      <c r="E8" s="40"/>
      <c r="F8" s="42"/>
      <c r="O8" s="159"/>
      <c r="P8" s="159"/>
      <c r="Q8" s="159"/>
      <c r="R8" s="159"/>
    </row>
    <row r="9" spans="1:24" ht="14.45" customHeight="1" x14ac:dyDescent="0.2">
      <c r="B9" s="39"/>
      <c r="C9" s="37"/>
      <c r="D9" s="37"/>
      <c r="E9" s="40" t="s">
        <v>83</v>
      </c>
      <c r="F9" s="42"/>
      <c r="O9" s="159"/>
      <c r="P9" s="159"/>
      <c r="Q9" s="159"/>
      <c r="R9" s="159"/>
    </row>
    <row r="10" spans="1:24" ht="14.45" customHeight="1" x14ac:dyDescent="0.2">
      <c r="B10" s="43"/>
      <c r="C10" s="37"/>
      <c r="D10" s="37"/>
      <c r="E10" s="44"/>
      <c r="F10" s="45"/>
      <c r="O10" s="159"/>
      <c r="P10" s="159"/>
      <c r="Q10" s="159"/>
      <c r="R10" s="159"/>
    </row>
    <row r="11" spans="1:24" ht="14.45" customHeight="1" x14ac:dyDescent="0.2">
      <c r="B11" s="39"/>
      <c r="C11" s="37"/>
      <c r="D11" s="37"/>
      <c r="E11" s="40"/>
      <c r="F11" s="46"/>
      <c r="O11" s="159"/>
      <c r="P11" s="159"/>
      <c r="Q11" s="159"/>
      <c r="R11" s="159"/>
    </row>
    <row r="12" spans="1:24" ht="14.45" customHeight="1" x14ac:dyDescent="0.2">
      <c r="B12" s="39"/>
      <c r="C12" s="37"/>
      <c r="D12" s="37"/>
      <c r="E12" s="40"/>
      <c r="F12" s="46"/>
      <c r="G12" s="47"/>
      <c r="O12" s="159"/>
      <c r="P12" s="159"/>
      <c r="Q12" s="159"/>
      <c r="R12" s="159"/>
    </row>
    <row r="13" spans="1:24" ht="11.85" customHeight="1" x14ac:dyDescent="0.2">
      <c r="A13" s="48" t="s">
        <v>13</v>
      </c>
      <c r="B13" s="48" t="s">
        <v>14</v>
      </c>
      <c r="C13" s="153" t="s">
        <v>1</v>
      </c>
      <c r="D13" s="154"/>
      <c r="E13" s="154"/>
      <c r="F13" s="154"/>
      <c r="G13" s="154"/>
      <c r="H13" s="155"/>
      <c r="O13" s="159"/>
      <c r="P13" s="159"/>
      <c r="Q13" s="159"/>
      <c r="R13" s="159"/>
    </row>
    <row r="14" spans="1:24" ht="11.85" customHeight="1" x14ac:dyDescent="0.2">
      <c r="A14" s="49"/>
      <c r="B14" s="50"/>
      <c r="C14" s="156"/>
      <c r="D14" s="156"/>
      <c r="E14" s="156"/>
      <c r="F14" s="156"/>
      <c r="G14" s="156"/>
      <c r="H14" s="156"/>
      <c r="O14" s="159"/>
      <c r="P14" s="159"/>
      <c r="Q14" s="159"/>
      <c r="R14" s="159"/>
    </row>
    <row r="15" spans="1:24" ht="11.85" customHeight="1" x14ac:dyDescent="0.2">
      <c r="A15" s="51"/>
      <c r="B15" s="52"/>
      <c r="C15" s="157"/>
      <c r="D15" s="157"/>
      <c r="E15" s="157"/>
      <c r="F15" s="157"/>
      <c r="G15" s="157"/>
      <c r="H15" s="157"/>
      <c r="O15" s="159"/>
      <c r="P15" s="159"/>
      <c r="Q15" s="159"/>
      <c r="R15" s="159"/>
    </row>
    <row r="16" spans="1:24" ht="11.85" customHeight="1" x14ac:dyDescent="0.2">
      <c r="A16" s="53"/>
      <c r="B16" s="52"/>
      <c r="C16" s="160"/>
      <c r="D16" s="160"/>
      <c r="E16" s="160"/>
      <c r="F16" s="160"/>
      <c r="G16" s="160"/>
      <c r="H16" s="160"/>
    </row>
    <row r="17" spans="1:14" ht="12.75" customHeight="1" x14ac:dyDescent="0.2"/>
    <row r="18" spans="1:14" ht="18" customHeight="1" x14ac:dyDescent="0.2">
      <c r="A18" s="91" t="s">
        <v>28</v>
      </c>
      <c r="B18" s="91"/>
      <c r="C18" s="91"/>
      <c r="D18" s="91"/>
      <c r="E18" s="91"/>
      <c r="F18" s="91"/>
      <c r="G18" s="91"/>
      <c r="H18" s="91"/>
    </row>
    <row r="19" spans="1:14" ht="12.75" customHeight="1" x14ac:dyDescent="0.2">
      <c r="A19" s="54"/>
      <c r="D19" s="55"/>
      <c r="E19" s="56"/>
      <c r="F19" s="56"/>
    </row>
    <row r="20" spans="1:14" ht="12.75" customHeight="1" x14ac:dyDescent="0.2">
      <c r="A20" s="54"/>
      <c r="B20" s="57" t="s">
        <v>29</v>
      </c>
      <c r="C20" s="161"/>
      <c r="D20" s="161"/>
      <c r="E20" s="161"/>
      <c r="F20" s="161"/>
      <c r="G20" s="161"/>
      <c r="H20" s="161"/>
    </row>
    <row r="21" spans="1:14" ht="12.75" customHeight="1" x14ac:dyDescent="0.2">
      <c r="A21" s="54"/>
      <c r="C21" s="161"/>
      <c r="D21" s="161"/>
      <c r="E21" s="161"/>
      <c r="F21" s="161"/>
      <c r="G21" s="161"/>
      <c r="H21" s="161"/>
    </row>
    <row r="22" spans="1:14" ht="12.75" customHeight="1" x14ac:dyDescent="0.2">
      <c r="A22" s="54"/>
      <c r="B22" s="58" t="s">
        <v>37</v>
      </c>
      <c r="C22" s="59"/>
    </row>
    <row r="23" spans="1:14" ht="12.75" customHeight="1" x14ac:dyDescent="0.2">
      <c r="A23" s="56"/>
      <c r="B23" s="63"/>
      <c r="C23" s="61"/>
      <c r="D23" s="61"/>
      <c r="E23" s="62"/>
      <c r="F23" s="62"/>
      <c r="K23" s="56"/>
    </row>
    <row r="24" spans="1:14" ht="12.75" customHeight="1" x14ac:dyDescent="0.2">
      <c r="A24" s="56"/>
      <c r="B24" s="58" t="s">
        <v>30</v>
      </c>
      <c r="C24" s="59"/>
      <c r="D24" s="61"/>
      <c r="E24" s="62"/>
      <c r="F24" s="62"/>
    </row>
    <row r="25" spans="1:14" ht="12.75" customHeight="1" x14ac:dyDescent="0.2">
      <c r="A25" s="56"/>
      <c r="B25" s="63" t="s">
        <v>33</v>
      </c>
      <c r="C25" s="61" t="str">
        <f>IF(K25=0,M25,L25)</f>
        <v xml:space="preserve">Specimens delivered by the customer. </v>
      </c>
      <c r="D25" s="61"/>
      <c r="E25" s="66"/>
      <c r="F25" s="62"/>
      <c r="K25" s="67"/>
      <c r="L25" s="68" t="s">
        <v>42</v>
      </c>
      <c r="M25" s="69" t="s">
        <v>41</v>
      </c>
      <c r="N25" s="67"/>
    </row>
    <row r="26" spans="1:14" ht="12.75" customHeight="1" x14ac:dyDescent="0.2">
      <c r="A26" s="56"/>
      <c r="B26" s="63" t="s">
        <v>34</v>
      </c>
      <c r="C26" s="61"/>
      <c r="D26" s="61"/>
      <c r="E26" s="62"/>
      <c r="F26" s="62"/>
    </row>
    <row r="27" spans="1:14" ht="12.75" customHeight="1" x14ac:dyDescent="0.2">
      <c r="A27" s="56"/>
      <c r="B27" s="63" t="s">
        <v>35</v>
      </c>
      <c r="C27" s="61"/>
      <c r="D27" s="61"/>
      <c r="E27" s="62"/>
      <c r="F27" s="62"/>
    </row>
    <row r="28" spans="1:14" ht="12.75" customHeight="1" x14ac:dyDescent="0.2">
      <c r="A28" s="56"/>
      <c r="B28" s="64" t="s">
        <v>36</v>
      </c>
      <c r="C28" s="59"/>
      <c r="D28" s="61"/>
      <c r="E28" s="62"/>
      <c r="F28" s="62"/>
    </row>
    <row r="29" spans="1:14" ht="12.75" customHeight="1" x14ac:dyDescent="0.2">
      <c r="A29" s="56"/>
    </row>
    <row r="30" spans="1:14" ht="18" customHeight="1" x14ac:dyDescent="0.2">
      <c r="A30" s="91" t="s">
        <v>43</v>
      </c>
      <c r="B30" s="91"/>
      <c r="C30" s="91"/>
      <c r="D30" s="91"/>
      <c r="E30" s="91"/>
      <c r="F30" s="91"/>
      <c r="G30" s="91"/>
      <c r="H30" s="91"/>
    </row>
    <row r="31" spans="1:14" ht="12.75" customHeight="1" x14ac:dyDescent="0.2">
      <c r="A31" s="70"/>
    </row>
    <row r="32" spans="1:14" ht="12.75" customHeight="1" x14ac:dyDescent="0.2">
      <c r="A32" s="54"/>
      <c r="B32" s="58" t="s">
        <v>84</v>
      </c>
      <c r="C32" s="60" t="s">
        <v>85</v>
      </c>
      <c r="D32" s="61"/>
      <c r="E32" s="62"/>
      <c r="F32" s="62"/>
    </row>
    <row r="33" spans="1:13" ht="12.75" customHeight="1" x14ac:dyDescent="0.2">
      <c r="A33" s="89"/>
      <c r="B33" s="63"/>
      <c r="C33" s="61" t="s">
        <v>38</v>
      </c>
      <c r="D33" s="61"/>
      <c r="E33" s="62"/>
      <c r="F33" s="62"/>
    </row>
    <row r="34" spans="1:13" ht="12.75" customHeight="1" x14ac:dyDescent="0.2">
      <c r="A34" s="56"/>
      <c r="B34" s="63"/>
      <c r="C34" s="61" t="s">
        <v>39</v>
      </c>
      <c r="D34" s="61"/>
      <c r="E34" s="62"/>
      <c r="F34" s="62"/>
      <c r="K34" s="56"/>
    </row>
    <row r="35" spans="1:13" ht="12.75" customHeight="1" x14ac:dyDescent="0.2">
      <c r="A35" s="56"/>
      <c r="B35" s="63"/>
      <c r="C35" s="61" t="s">
        <v>40</v>
      </c>
      <c r="D35" s="61"/>
      <c r="E35" s="62"/>
      <c r="F35" s="62"/>
      <c r="K35" s="56"/>
    </row>
    <row r="36" spans="1:13" ht="37.15" customHeight="1" x14ac:dyDescent="0.2">
      <c r="A36" s="56"/>
      <c r="B36" s="57" t="s">
        <v>44</v>
      </c>
      <c r="C36" s="158"/>
      <c r="D36" s="158"/>
      <c r="E36" s="158"/>
      <c r="F36" s="158"/>
      <c r="G36" s="158"/>
    </row>
    <row r="37" spans="1:13" ht="12.75" customHeight="1" x14ac:dyDescent="0.2">
      <c r="A37" s="56"/>
      <c r="B37" s="64" t="s">
        <v>31</v>
      </c>
      <c r="C37" s="59"/>
      <c r="D37" s="61"/>
      <c r="E37" s="62"/>
      <c r="F37" s="62"/>
    </row>
    <row r="38" spans="1:13" ht="12.75" customHeight="1" x14ac:dyDescent="0.2">
      <c r="A38" s="56"/>
      <c r="B38" s="64" t="s">
        <v>32</v>
      </c>
      <c r="C38" s="59"/>
      <c r="D38" s="61"/>
      <c r="E38" s="62"/>
      <c r="F38" s="62"/>
    </row>
    <row r="39" spans="1:13" ht="12.75" customHeight="1" x14ac:dyDescent="0.2">
      <c r="A39" s="56"/>
      <c r="B39" s="64"/>
      <c r="C39" s="61"/>
      <c r="D39" s="61"/>
      <c r="E39" s="62"/>
      <c r="F39" s="62"/>
      <c r="M39" s="65"/>
    </row>
    <row r="40" spans="1:13" ht="12.75" customHeight="1" x14ac:dyDescent="0.2">
      <c r="A40" s="56"/>
      <c r="B40" s="64" t="s">
        <v>15</v>
      </c>
      <c r="C40" s="59"/>
      <c r="D40" s="61"/>
      <c r="E40" s="61"/>
      <c r="F40" s="61"/>
      <c r="G40" s="71"/>
      <c r="K40" s="72"/>
      <c r="L40" s="72"/>
      <c r="M40" s="72"/>
    </row>
    <row r="41" spans="1:13" ht="12.75" customHeight="1" x14ac:dyDescent="0.2">
      <c r="A41" s="56"/>
      <c r="B41" s="64" t="s">
        <v>45</v>
      </c>
      <c r="C41" s="61"/>
      <c r="D41" s="61" t="s">
        <v>0</v>
      </c>
      <c r="E41" s="61" t="s">
        <v>0</v>
      </c>
      <c r="F41" s="61"/>
      <c r="G41" s="71"/>
      <c r="K41" s="72"/>
      <c r="L41" s="72"/>
      <c r="M41" s="72"/>
    </row>
    <row r="42" spans="1:13" ht="12.75" customHeight="1" x14ac:dyDescent="0.2">
      <c r="A42" s="56"/>
      <c r="B42" s="64" t="s">
        <v>46</v>
      </c>
      <c r="C42" s="151" t="str">
        <f>CONCATENATE("Closed loop servo controlled hydraulic system of ",K42," kN capacity.")</f>
        <v>Closed loop servo controlled hydraulic system of xxx kN capacity.</v>
      </c>
      <c r="D42" s="151"/>
      <c r="E42" s="151"/>
      <c r="F42" s="151"/>
      <c r="G42" s="151"/>
      <c r="H42" s="151"/>
      <c r="K42" s="67" t="s">
        <v>16</v>
      </c>
      <c r="L42" s="72"/>
      <c r="M42" s="72"/>
    </row>
    <row r="43" spans="1:13" ht="12.75" customHeight="1" x14ac:dyDescent="0.2">
      <c r="A43" s="56"/>
      <c r="B43" s="64" t="s">
        <v>47</v>
      </c>
      <c r="C43" s="61" t="str">
        <f>IF(AND(K43=0,L43=0),"NA",CONCATENATE(IF(K43&gt;0,"3 zones radiant furnace",""),IF(AND(K43&gt;0,L43&gt;0)," &amp; ",""),IF(L43&gt;0,"High frequency generator induction","")))</f>
        <v>NA</v>
      </c>
      <c r="D43" s="61"/>
      <c r="E43" s="61"/>
      <c r="F43" s="61"/>
      <c r="G43" s="71"/>
      <c r="K43" s="72"/>
      <c r="L43" s="72"/>
      <c r="M43" s="72"/>
    </row>
    <row r="44" spans="1:13" ht="12.75" customHeight="1" x14ac:dyDescent="0.2">
      <c r="A44" s="56"/>
      <c r="B44" s="64" t="s">
        <v>49</v>
      </c>
      <c r="C44" s="61"/>
      <c r="D44" s="61"/>
      <c r="E44" s="61"/>
      <c r="F44" s="61"/>
      <c r="G44" s="71"/>
      <c r="K44" s="72"/>
      <c r="L44" s="72"/>
      <c r="M44" s="72"/>
    </row>
    <row r="45" spans="1:13" ht="12.75" customHeight="1" x14ac:dyDescent="0.2">
      <c r="A45" s="56"/>
      <c r="B45" s="64" t="s">
        <v>49</v>
      </c>
      <c r="C45" s="73"/>
      <c r="D45" s="61"/>
      <c r="E45" s="61"/>
      <c r="F45" s="61"/>
      <c r="G45" s="71"/>
      <c r="K45" s="72"/>
      <c r="L45" s="72"/>
      <c r="M45" s="72"/>
    </row>
    <row r="46" spans="1:13" ht="12.75" customHeight="1" x14ac:dyDescent="0.2">
      <c r="A46" s="56"/>
      <c r="D46" s="61"/>
      <c r="E46" s="61"/>
      <c r="F46" s="61"/>
      <c r="G46" s="71"/>
      <c r="K46" s="72"/>
      <c r="L46" s="72"/>
      <c r="M46" s="72"/>
    </row>
    <row r="47" spans="1:13" ht="12.75" customHeight="1" x14ac:dyDescent="0.2">
      <c r="A47" s="56"/>
      <c r="D47" s="61"/>
      <c r="E47" s="61"/>
      <c r="F47" s="61"/>
      <c r="G47" s="71"/>
      <c r="K47" s="72"/>
      <c r="L47" s="72"/>
      <c r="M47" s="72"/>
    </row>
    <row r="48" spans="1:13" ht="12.75" customHeight="1" x14ac:dyDescent="0.2">
      <c r="A48" s="56"/>
      <c r="D48" s="61"/>
      <c r="E48" s="61"/>
      <c r="F48" s="61"/>
      <c r="G48" s="71"/>
      <c r="K48" s="72"/>
      <c r="L48" s="72"/>
      <c r="M48" s="72"/>
    </row>
    <row r="49" spans="1:13" ht="12.75" customHeight="1" x14ac:dyDescent="0.2">
      <c r="A49" s="56"/>
      <c r="B49" s="64"/>
      <c r="C49" s="61"/>
      <c r="D49" s="61"/>
      <c r="E49" s="61"/>
      <c r="F49" s="61"/>
      <c r="G49" s="71"/>
      <c r="K49" s="72"/>
      <c r="L49" s="72"/>
      <c r="M49" s="72"/>
    </row>
    <row r="50" spans="1:13" ht="12.75" customHeight="1" x14ac:dyDescent="0.2">
      <c r="A50" s="56"/>
      <c r="B50" s="64"/>
      <c r="C50" s="61"/>
      <c r="D50" s="61"/>
      <c r="E50" s="61"/>
      <c r="F50" s="61"/>
      <c r="G50" s="71"/>
    </row>
    <row r="51" spans="1:13" ht="12.75" customHeight="1" x14ac:dyDescent="0.2">
      <c r="A51" s="56"/>
      <c r="B51" s="64"/>
      <c r="C51" s="61"/>
      <c r="D51" s="61"/>
      <c r="E51" s="61"/>
      <c r="F51" s="61"/>
      <c r="G51" s="71"/>
    </row>
    <row r="52" spans="1:13" ht="12.75" customHeight="1" x14ac:dyDescent="0.2">
      <c r="A52" s="56"/>
      <c r="B52" s="64"/>
      <c r="C52" s="61"/>
      <c r="D52" s="61"/>
      <c r="E52" s="61"/>
      <c r="F52" s="61"/>
      <c r="G52" s="71"/>
      <c r="K52" s="92"/>
    </row>
    <row r="53" spans="1:13" ht="12.75" hidden="1" customHeight="1" x14ac:dyDescent="0.2">
      <c r="A53" s="56"/>
      <c r="B53" s="64"/>
      <c r="C53" s="61"/>
      <c r="D53" s="61"/>
      <c r="E53" s="61"/>
      <c r="F53" s="61"/>
      <c r="G53" s="71"/>
    </row>
    <row r="54" spans="1:13" ht="12.75" hidden="1" customHeight="1" x14ac:dyDescent="0.2">
      <c r="A54" s="56"/>
      <c r="B54" s="64"/>
      <c r="C54" s="61"/>
      <c r="D54" s="61"/>
      <c r="E54" s="61"/>
      <c r="F54" s="61"/>
      <c r="G54" s="71"/>
    </row>
    <row r="55" spans="1:13" ht="12.75" customHeight="1" x14ac:dyDescent="0.2">
      <c r="A55" s="81" t="s">
        <v>20</v>
      </c>
      <c r="B55" s="82"/>
      <c r="C55" s="83"/>
      <c r="D55" s="83"/>
      <c r="E55" s="83"/>
      <c r="F55" s="83"/>
      <c r="G55" s="83"/>
      <c r="H55" s="84"/>
    </row>
    <row r="56" spans="1:13" ht="12.75" customHeight="1" x14ac:dyDescent="0.2">
      <c r="A56" s="81" t="s">
        <v>21</v>
      </c>
      <c r="B56" s="85"/>
      <c r="C56" s="85"/>
      <c r="D56" s="85"/>
      <c r="E56" s="85"/>
      <c r="F56" s="85"/>
      <c r="G56" s="84"/>
      <c r="H56" s="84"/>
    </row>
    <row r="57" spans="1:13" ht="12.75" customHeight="1" x14ac:dyDescent="0.2">
      <c r="A57" s="56"/>
      <c r="B57" s="74" t="s">
        <v>17</v>
      </c>
      <c r="C57" s="55"/>
      <c r="D57" s="55"/>
      <c r="E57" s="55"/>
      <c r="F57" s="74" t="s">
        <v>17</v>
      </c>
      <c r="G57" s="56"/>
    </row>
    <row r="58" spans="1:13" ht="12.75" customHeight="1" x14ac:dyDescent="0.2">
      <c r="A58" s="56"/>
      <c r="B58" s="75" t="s">
        <v>18</v>
      </c>
      <c r="C58" s="55"/>
      <c r="D58" s="55"/>
      <c r="E58" s="55"/>
      <c r="F58" s="75" t="s">
        <v>19</v>
      </c>
      <c r="G58" s="56"/>
    </row>
    <row r="59" spans="1:13" ht="12.75" customHeight="1" x14ac:dyDescent="0.2">
      <c r="A59" s="56"/>
      <c r="B59" s="75" t="s">
        <v>23</v>
      </c>
      <c r="C59" s="55"/>
      <c r="D59" s="55"/>
      <c r="E59" s="55"/>
      <c r="F59" s="75" t="s">
        <v>24</v>
      </c>
      <c r="G59" s="56"/>
    </row>
    <row r="60" spans="1:13" ht="12.75" customHeight="1" x14ac:dyDescent="0.2">
      <c r="A60" s="87" t="s">
        <v>25</v>
      </c>
      <c r="B60" s="86"/>
      <c r="C60" s="86"/>
      <c r="D60" s="86"/>
      <c r="E60" s="86"/>
      <c r="F60" s="86"/>
      <c r="G60" s="86"/>
      <c r="H60" s="86"/>
    </row>
    <row r="61" spans="1:13" ht="12.75" customHeight="1" x14ac:dyDescent="0.2">
      <c r="A61" s="88" t="s">
        <v>26</v>
      </c>
      <c r="B61" s="86"/>
      <c r="C61" s="86"/>
      <c r="D61" s="86"/>
      <c r="E61" s="86"/>
      <c r="F61" s="86"/>
      <c r="G61" s="86"/>
      <c r="H61" s="86"/>
    </row>
    <row r="62" spans="1:13" ht="12.75" customHeight="1" x14ac:dyDescent="0.2">
      <c r="A62" s="88" t="s">
        <v>27</v>
      </c>
      <c r="B62" s="86"/>
      <c r="C62" s="86"/>
      <c r="D62" s="86"/>
      <c r="E62" s="86"/>
      <c r="F62" s="86"/>
      <c r="G62" s="86"/>
      <c r="H62" s="86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45">
    <cfRule type="expression" dxfId="2" priority="3">
      <formula>$C$45=""</formula>
    </cfRule>
  </conditionalFormatting>
  <conditionalFormatting sqref="B20">
    <cfRule type="expression" dxfId="1" priority="2">
      <formula>$C$20=""</formula>
    </cfRule>
  </conditionalFormatting>
  <conditionalFormatting sqref="B44">
    <cfRule type="expression" dxfId="0" priority="1">
      <formula>$C$45=""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6" customWidth="1"/>
    <col min="2" max="2" width="12.85546875" style="16" customWidth="1"/>
    <col min="3" max="3" width="5.710937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50</v>
      </c>
      <c r="M1" s="3"/>
      <c r="P1" s="3"/>
      <c r="R1" s="3"/>
    </row>
    <row r="2" spans="1:28" s="1" customFormat="1" ht="24.4" customHeight="1" x14ac:dyDescent="0.35">
      <c r="B2" s="2"/>
      <c r="C2" s="2"/>
      <c r="D2" s="90" t="s">
        <v>51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4" t="s">
        <v>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4" t="s">
        <v>52</v>
      </c>
      <c r="E8" s="34"/>
      <c r="F8" s="34"/>
      <c r="G8" s="34"/>
      <c r="H8" s="34"/>
      <c r="I8" s="34"/>
      <c r="J8" s="3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5" customFormat="1" ht="14.1" customHeight="1" x14ac:dyDescent="0.15"/>
    <row r="10" spans="1:28" ht="14.1" customHeight="1" x14ac:dyDescent="0.2">
      <c r="A10" s="21" t="s">
        <v>53</v>
      </c>
      <c r="B10" s="93"/>
      <c r="C10" s="94" t="s">
        <v>0</v>
      </c>
      <c r="D10" s="95"/>
    </row>
    <row r="11" spans="1:28" ht="14.1" customHeight="1" x14ac:dyDescent="0.2">
      <c r="A11" s="96" t="s">
        <v>66</v>
      </c>
      <c r="B11" s="93"/>
      <c r="C11" s="94" t="s">
        <v>0</v>
      </c>
      <c r="D11" s="95"/>
    </row>
    <row r="12" spans="1:28" ht="14.1" customHeight="1" x14ac:dyDescent="0.2">
      <c r="A12" s="22" t="s">
        <v>54</v>
      </c>
      <c r="B12" s="23"/>
      <c r="C12" s="97" t="s">
        <v>0</v>
      </c>
      <c r="D12" s="98"/>
    </row>
    <row r="13" spans="1:28" ht="14.1" customHeight="1" x14ac:dyDescent="0.2">
      <c r="A13" s="22" t="s">
        <v>55</v>
      </c>
      <c r="B13" s="23"/>
      <c r="C13" s="23" t="s">
        <v>0</v>
      </c>
      <c r="D13" s="98"/>
    </row>
    <row r="14" spans="1:28" ht="14.1" customHeight="1" x14ac:dyDescent="0.2">
      <c r="A14" s="22" t="s">
        <v>56</v>
      </c>
      <c r="B14" s="23"/>
      <c r="C14" s="23" t="s">
        <v>0</v>
      </c>
      <c r="D14" s="98"/>
    </row>
    <row r="15" spans="1:28" ht="14.1" customHeight="1" x14ac:dyDescent="0.2">
      <c r="A15" s="22" t="s">
        <v>14</v>
      </c>
      <c r="B15" s="23"/>
      <c r="C15" s="23"/>
      <c r="D15" s="99"/>
    </row>
    <row r="16" spans="1:28" ht="14.1" customHeight="1" x14ac:dyDescent="0.2">
      <c r="A16" s="100" t="s">
        <v>2</v>
      </c>
      <c r="B16" s="23"/>
      <c r="C16" s="101" t="s">
        <v>3</v>
      </c>
      <c r="D16" s="98"/>
    </row>
    <row r="17" spans="1:4" ht="14.1" customHeight="1" x14ac:dyDescent="0.2">
      <c r="A17" s="22" t="s">
        <v>57</v>
      </c>
      <c r="B17" s="23"/>
      <c r="C17" s="101" t="s">
        <v>4</v>
      </c>
      <c r="D17" s="98"/>
    </row>
    <row r="18" spans="1:4" ht="14.1" hidden="1" customHeight="1" x14ac:dyDescent="0.2">
      <c r="A18" s="22" t="s">
        <v>67</v>
      </c>
      <c r="B18" s="23"/>
      <c r="C18" s="101" t="s">
        <v>4</v>
      </c>
      <c r="D18" s="98"/>
    </row>
    <row r="19" spans="1:4" ht="14.1" customHeight="1" x14ac:dyDescent="0.2">
      <c r="A19" s="102"/>
      <c r="B19" s="103" t="s">
        <v>58</v>
      </c>
      <c r="C19" s="104" t="s">
        <v>0</v>
      </c>
      <c r="D19" s="105"/>
    </row>
    <row r="20" spans="1:4" ht="14.1" customHeight="1" x14ac:dyDescent="0.2">
      <c r="A20" s="102"/>
      <c r="B20" s="103" t="s">
        <v>58</v>
      </c>
      <c r="C20" s="104" t="s">
        <v>0</v>
      </c>
      <c r="D20" s="106"/>
    </row>
    <row r="21" spans="1:4" ht="14.1" hidden="1" customHeight="1" x14ac:dyDescent="0.2">
      <c r="A21" s="107" t="s">
        <v>68</v>
      </c>
      <c r="B21" s="108"/>
      <c r="C21" s="104" t="s">
        <v>0</v>
      </c>
      <c r="D21" s="109"/>
    </row>
    <row r="22" spans="1:4" ht="14.1" hidden="1" customHeight="1" x14ac:dyDescent="0.2">
      <c r="A22" s="110" t="s">
        <v>69</v>
      </c>
      <c r="B22" s="111"/>
      <c r="C22" s="112" t="s">
        <v>0</v>
      </c>
      <c r="D22" s="113"/>
    </row>
    <row r="23" spans="1:4" ht="14.1" customHeight="1" x14ac:dyDescent="0.2">
      <c r="A23" s="114" t="s">
        <v>59</v>
      </c>
      <c r="B23" s="97"/>
      <c r="C23" s="115" t="s">
        <v>0</v>
      </c>
      <c r="D23" s="116"/>
    </row>
    <row r="24" spans="1:4" ht="14.1" customHeight="1" x14ac:dyDescent="0.2">
      <c r="A24" s="22" t="s">
        <v>5</v>
      </c>
      <c r="B24" s="23"/>
      <c r="C24" s="101" t="s">
        <v>6</v>
      </c>
      <c r="D24" s="117"/>
    </row>
    <row r="25" spans="1:4" ht="14.1" customHeight="1" x14ac:dyDescent="0.2">
      <c r="A25" s="22" t="s">
        <v>5</v>
      </c>
      <c r="B25" s="23"/>
      <c r="C25" s="101" t="s">
        <v>6</v>
      </c>
      <c r="D25" s="117"/>
    </row>
    <row r="26" spans="1:4" ht="14.1" customHeight="1" thickBot="1" x14ac:dyDescent="0.25">
      <c r="A26" s="118" t="s">
        <v>5</v>
      </c>
      <c r="B26" s="119"/>
      <c r="C26" s="120" t="s">
        <v>6</v>
      </c>
      <c r="D26" s="121"/>
    </row>
    <row r="27" spans="1:4" ht="14.1" hidden="1" customHeight="1" x14ac:dyDescent="0.2">
      <c r="A27" s="22"/>
      <c r="B27" s="122"/>
      <c r="C27" s="101"/>
      <c r="D27" s="123"/>
    </row>
    <row r="28" spans="1:4" ht="14.1" hidden="1" customHeight="1" x14ac:dyDescent="0.2">
      <c r="A28" s="22"/>
      <c r="B28" s="122"/>
      <c r="C28" s="101"/>
      <c r="D28" s="123"/>
    </row>
    <row r="29" spans="1:4" ht="14.1" hidden="1" customHeight="1" x14ac:dyDescent="0.2">
      <c r="A29" s="22"/>
      <c r="B29" s="124"/>
      <c r="C29" s="101"/>
      <c r="D29" s="125"/>
    </row>
    <row r="30" spans="1:4" ht="14.1" customHeight="1" x14ac:dyDescent="0.2">
      <c r="A30" s="126" t="s">
        <v>10</v>
      </c>
      <c r="B30" s="127" t="s">
        <v>70</v>
      </c>
      <c r="C30" s="115" t="s">
        <v>22</v>
      </c>
      <c r="D30" s="128"/>
    </row>
    <row r="31" spans="1:4" ht="14.1" customHeight="1" x14ac:dyDescent="0.2">
      <c r="A31" s="129" t="s">
        <v>10</v>
      </c>
      <c r="B31" s="130" t="s">
        <v>71</v>
      </c>
      <c r="C31" s="101" t="s">
        <v>22</v>
      </c>
      <c r="D31" s="123"/>
    </row>
    <row r="32" spans="1:4" ht="14.1" customHeight="1" x14ac:dyDescent="0.2">
      <c r="A32" s="129" t="s">
        <v>10</v>
      </c>
      <c r="B32" s="130" t="s">
        <v>72</v>
      </c>
      <c r="C32" s="101" t="s">
        <v>22</v>
      </c>
      <c r="D32" s="123"/>
    </row>
    <row r="33" spans="1:4" ht="14.1" customHeight="1" thickBot="1" x14ac:dyDescent="0.25">
      <c r="A33" s="131" t="s">
        <v>10</v>
      </c>
      <c r="B33" s="132" t="s">
        <v>73</v>
      </c>
      <c r="C33" s="120" t="s">
        <v>22</v>
      </c>
      <c r="D33" s="133"/>
    </row>
    <row r="34" spans="1:4" ht="14.1" hidden="1" customHeight="1" x14ac:dyDescent="0.2">
      <c r="A34" s="134"/>
      <c r="B34" s="135"/>
      <c r="C34" s="136"/>
      <c r="D34" s="24"/>
    </row>
    <row r="35" spans="1:4" ht="14.1" hidden="1" customHeight="1" thickBot="1" x14ac:dyDescent="0.25">
      <c r="A35" s="134"/>
      <c r="B35" s="135"/>
      <c r="C35" s="136"/>
      <c r="D35" s="24"/>
    </row>
    <row r="36" spans="1:4" ht="14.1" hidden="1" customHeight="1" x14ac:dyDescent="0.2">
      <c r="A36" s="134"/>
      <c r="B36" s="135"/>
      <c r="C36" s="136"/>
      <c r="D36" s="24"/>
    </row>
    <row r="37" spans="1:4" ht="14.1" hidden="1" customHeight="1" x14ac:dyDescent="0.2">
      <c r="A37" s="134"/>
      <c r="B37" s="135"/>
      <c r="C37" s="136"/>
      <c r="D37" s="24"/>
    </row>
    <row r="38" spans="1:4" ht="14.1" hidden="1" customHeight="1" x14ac:dyDescent="0.2">
      <c r="A38" s="134"/>
      <c r="B38" s="135"/>
      <c r="C38" s="136"/>
      <c r="D38" s="24"/>
    </row>
    <row r="39" spans="1:4" ht="14.1" hidden="1" customHeight="1" x14ac:dyDescent="0.2">
      <c r="A39" s="134"/>
      <c r="B39" s="135"/>
      <c r="C39" s="136"/>
      <c r="D39" s="24"/>
    </row>
    <row r="40" spans="1:4" ht="14.1" hidden="1" customHeight="1" x14ac:dyDescent="0.2">
      <c r="A40" s="134"/>
      <c r="B40" s="135"/>
      <c r="C40" s="136"/>
      <c r="D40" s="24"/>
    </row>
    <row r="41" spans="1:4" ht="14.1" hidden="1" customHeight="1" x14ac:dyDescent="0.2">
      <c r="A41" s="134"/>
      <c r="B41" s="135"/>
      <c r="C41" s="136"/>
      <c r="D41" s="24"/>
    </row>
    <row r="42" spans="1:4" ht="14.1" hidden="1" customHeight="1" x14ac:dyDescent="0.2">
      <c r="A42" s="134"/>
      <c r="B42" s="135"/>
      <c r="C42" s="136"/>
      <c r="D42" s="24"/>
    </row>
    <row r="43" spans="1:4" ht="14.1" hidden="1" customHeight="1" x14ac:dyDescent="0.2">
      <c r="A43" s="134"/>
      <c r="B43" s="135"/>
      <c r="C43" s="136"/>
      <c r="D43" s="24"/>
    </row>
    <row r="44" spans="1:4" ht="14.1" hidden="1" customHeight="1" x14ac:dyDescent="0.2">
      <c r="A44" s="134"/>
      <c r="B44" s="135"/>
      <c r="C44" s="136"/>
      <c r="D44" s="24"/>
    </row>
    <row r="45" spans="1:4" ht="14.1" hidden="1" customHeight="1" x14ac:dyDescent="0.2">
      <c r="A45" s="134"/>
      <c r="B45" s="135"/>
      <c r="C45" s="136"/>
      <c r="D45" s="24"/>
    </row>
    <row r="46" spans="1:4" ht="14.1" hidden="1" customHeight="1" x14ac:dyDescent="0.2">
      <c r="A46" s="137" t="s">
        <v>74</v>
      </c>
      <c r="B46" s="138"/>
      <c r="C46" s="139" t="s">
        <v>0</v>
      </c>
      <c r="D46" s="140"/>
    </row>
    <row r="47" spans="1:4" ht="14.1" customHeight="1" x14ac:dyDescent="0.2">
      <c r="A47" s="141" t="s">
        <v>60</v>
      </c>
      <c r="B47" s="142"/>
      <c r="C47" s="143" t="s">
        <v>0</v>
      </c>
      <c r="D47" s="144"/>
    </row>
    <row r="48" spans="1:4" ht="14.1" hidden="1" customHeight="1" thickBot="1" x14ac:dyDescent="0.25">
      <c r="A48" s="107" t="s">
        <v>75</v>
      </c>
      <c r="B48" s="108"/>
      <c r="C48" s="104" t="s">
        <v>0</v>
      </c>
      <c r="D48" s="106"/>
    </row>
    <row r="49" spans="1:103" ht="14.1" customHeight="1" x14ac:dyDescent="0.2">
      <c r="A49" s="96" t="s">
        <v>61</v>
      </c>
      <c r="B49" s="93"/>
      <c r="C49" s="94" t="s">
        <v>0</v>
      </c>
      <c r="D49" s="95"/>
    </row>
    <row r="50" spans="1:103" ht="14.1" hidden="1" customHeight="1" x14ac:dyDescent="0.2">
      <c r="A50" s="96" t="s">
        <v>76</v>
      </c>
      <c r="B50" s="93"/>
      <c r="C50" s="94"/>
      <c r="D50" s="95"/>
    </row>
    <row r="51" spans="1:103" ht="14.1" customHeight="1" x14ac:dyDescent="0.2">
      <c r="A51" s="100" t="s">
        <v>77</v>
      </c>
      <c r="B51" s="23"/>
      <c r="C51" s="101" t="s">
        <v>7</v>
      </c>
      <c r="D51" s="98"/>
    </row>
    <row r="52" spans="1:103" ht="14.1" customHeight="1" x14ac:dyDescent="0.2">
      <c r="A52" s="22" t="s">
        <v>62</v>
      </c>
      <c r="B52" s="23"/>
      <c r="C52" s="23" t="s">
        <v>0</v>
      </c>
      <c r="D52" s="145"/>
    </row>
    <row r="53" spans="1:103" ht="14.1" customHeight="1" x14ac:dyDescent="0.2">
      <c r="A53" s="100" t="s">
        <v>78</v>
      </c>
      <c r="B53" s="23"/>
      <c r="C53" s="101" t="s">
        <v>8</v>
      </c>
      <c r="D53" s="146"/>
    </row>
    <row r="54" spans="1:103" s="17" customFormat="1" ht="14.1" hidden="1" customHeight="1" x14ac:dyDescent="0.2">
      <c r="A54" s="147"/>
      <c r="B54" s="148"/>
      <c r="C54" s="149"/>
      <c r="E54" s="16"/>
      <c r="F54" s="16"/>
    </row>
    <row r="55" spans="1:103" ht="14.1" hidden="1" customHeight="1" x14ac:dyDescent="0.2">
      <c r="A55" s="18"/>
      <c r="B55" s="19"/>
      <c r="C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ht="14.1" hidden="1" customHeight="1" x14ac:dyDescent="0.2">
      <c r="A56" s="18"/>
      <c r="B56" s="19"/>
      <c r="C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ht="14.1" hidden="1" customHeight="1" x14ac:dyDescent="0.2">
      <c r="A57" s="18"/>
      <c r="B57" s="19"/>
      <c r="C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ht="14.1" hidden="1" customHeight="1" x14ac:dyDescent="0.2">
      <c r="A58" s="18"/>
      <c r="B58" s="19"/>
      <c r="C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s="77" customFormat="1" ht="14.1" customHeight="1" x14ac:dyDescent="0.25"/>
    <row r="60" spans="1:103" s="25" customFormat="1" ht="18" customHeight="1" x14ac:dyDescent="0.25">
      <c r="A60" s="150" t="s">
        <v>63</v>
      </c>
      <c r="B60" s="150"/>
      <c r="C60" s="150"/>
    </row>
    <row r="61" spans="1:103" s="25" customFormat="1" ht="14.25" customHeight="1" x14ac:dyDescent="0.25"/>
    <row r="62" spans="1:103" ht="14.1" customHeight="1" x14ac:dyDescent="0.2">
      <c r="A62" s="18" t="s">
        <v>0</v>
      </c>
      <c r="B62" s="19"/>
      <c r="C62" s="18" t="s">
        <v>0</v>
      </c>
      <c r="D62" s="20"/>
      <c r="E62" s="18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9" customWidth="1"/>
    <col min="2" max="2" width="12.7109375" style="29" customWidth="1"/>
    <col min="3" max="3" width="5.7109375" style="29" customWidth="1"/>
    <col min="4" max="74" width="7.5703125" style="30" customWidth="1"/>
    <col min="75" max="16384" width="9" style="30"/>
  </cols>
  <sheetData>
    <row r="1" spans="1:273" s="26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50</v>
      </c>
      <c r="L1" s="15"/>
      <c r="M1" s="3" t="str">
        <f>IF(PV!M1="","",PV!M1)</f>
        <v/>
      </c>
      <c r="R1" s="27"/>
      <c r="AG1" s="27"/>
      <c r="AV1" s="27"/>
      <c r="BK1" s="27"/>
      <c r="BZ1" s="27"/>
      <c r="CO1" s="27"/>
      <c r="DD1" s="27"/>
      <c r="DS1" s="27"/>
      <c r="EH1" s="27"/>
      <c r="EW1" s="27"/>
      <c r="FL1" s="27"/>
      <c r="GA1" s="27"/>
      <c r="GP1" s="27"/>
      <c r="HE1" s="27"/>
      <c r="HT1" s="27"/>
      <c r="II1" s="27"/>
      <c r="IX1" s="27"/>
      <c r="JM1" s="27"/>
    </row>
    <row r="2" spans="1:273" s="28" customFormat="1" ht="25.9" customHeight="1" x14ac:dyDescent="0.35">
      <c r="A2" s="1"/>
      <c r="B2" s="2"/>
      <c r="C2" s="2"/>
      <c r="D2" s="90" t="s">
        <v>64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4" t="s">
        <v>52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</row>
    <row r="15" spans="1:273" ht="14.1" customHeight="1" x14ac:dyDescent="0.2">
      <c r="A15" s="31"/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  <c r="M15" s="31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2019-02-04T17:30:27Z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